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ri Dharma\Luar Kampus\"/>
    </mc:Choice>
  </mc:AlternateContent>
  <xr:revisionPtr revIDLastSave="0" documentId="8_{63C44E57-B02C-4EC6-8FA4-08E17F1B8C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ringkat otomatis" sheetId="12" r:id="rId1"/>
    <sheet name="peringkat" sheetId="11" r:id="rId2"/>
    <sheet name="Form penilaian presentasi" sheetId="5" r:id="rId3"/>
    <sheet name="REKAPITULASI SEMUA MATA LOMBA" sheetId="4" r:id="rId4"/>
    <sheet name="Rekap Nilai Teori Akuntansi" sheetId="10" r:id="rId5"/>
    <sheet name="Rekap Nilai Presentasi" sheetId="7" r:id="rId6"/>
    <sheet name="Komputer Akuntansi" sheetId="9" r:id="rId7"/>
    <sheet name="REKAP-DETAIL" sheetId="1" r:id="rId8"/>
    <sheet name="URUT-SIKLUS1" sheetId="3" r:id="rId9"/>
    <sheet name="UNDIAN" sheetId="2" r:id="rId10"/>
  </sheets>
  <definedNames>
    <definedName name="_xlnm.Print_Area" localSheetId="6">'Komputer Akuntansi'!$A$1:$Q$14</definedName>
    <definedName name="_xlnm.Print_Area" localSheetId="1">peringkat!$A$1:$J$20</definedName>
    <definedName name="_xlnm.Print_Area" localSheetId="0">'peringkat otomatis'!$A$1:$J$20</definedName>
    <definedName name="_xlnm.Print_Area" localSheetId="3">'REKAPITULASI SEMUA MATA LOMBA'!$A$1:$J$20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2" l="1"/>
  <c r="F14" i="12"/>
  <c r="F10" i="11"/>
  <c r="F6" i="11"/>
  <c r="F10" i="4" l="1"/>
  <c r="F6" i="4"/>
  <c r="R14" i="9"/>
  <c r="R15" i="9"/>
  <c r="P3" i="9"/>
  <c r="O3" i="9"/>
  <c r="N3" i="9"/>
  <c r="M3" i="9"/>
  <c r="L3" i="9"/>
  <c r="K3" i="9"/>
  <c r="J3" i="9"/>
  <c r="I3" i="9"/>
  <c r="R11" i="9" s="1"/>
  <c r="H3" i="9"/>
  <c r="R16" i="9" s="1"/>
  <c r="R4" i="9"/>
  <c r="E17" i="12" l="1"/>
  <c r="E12" i="11"/>
  <c r="E17" i="11"/>
  <c r="E12" i="12"/>
  <c r="R9" i="9"/>
  <c r="E8" i="12"/>
  <c r="E16" i="11"/>
  <c r="R12" i="9"/>
  <c r="R8" i="9"/>
  <c r="E15" i="11"/>
  <c r="E13" i="12"/>
  <c r="R19" i="9"/>
  <c r="R7" i="9"/>
  <c r="R10" i="9"/>
  <c r="R18" i="9"/>
  <c r="R6" i="9"/>
  <c r="R13" i="9"/>
  <c r="R17" i="9"/>
  <c r="G8" i="4"/>
  <c r="G13" i="4"/>
  <c r="G14" i="4"/>
  <c r="G17" i="4"/>
  <c r="G18" i="4"/>
  <c r="E7" i="10"/>
  <c r="E8" i="10"/>
  <c r="E9" i="10"/>
  <c r="E10" i="10"/>
  <c r="E11" i="10"/>
  <c r="E12" i="10"/>
  <c r="E13" i="10"/>
  <c r="E14" i="10"/>
  <c r="E15" i="10"/>
  <c r="G15" i="4" s="1"/>
  <c r="E16" i="10"/>
  <c r="E17" i="10"/>
  <c r="E18" i="10"/>
  <c r="E19" i="10"/>
  <c r="E20" i="10"/>
  <c r="E6" i="10"/>
  <c r="Y7" i="3"/>
  <c r="AY7" i="3" s="1"/>
  <c r="N19" i="3"/>
  <c r="X19" i="3"/>
  <c r="Y19" i="3" s="1"/>
  <c r="AZ19" i="3" s="1"/>
  <c r="AO19" i="3"/>
  <c r="N20" i="3"/>
  <c r="Y20" i="3" s="1"/>
  <c r="AZ20" i="3" s="1"/>
  <c r="X20" i="3"/>
  <c r="AO20" i="3"/>
  <c r="AY20" i="3" s="1"/>
  <c r="N21" i="3"/>
  <c r="X21" i="3"/>
  <c r="Y21" i="3" s="1"/>
  <c r="AZ21" i="3" s="1"/>
  <c r="AO21" i="3"/>
  <c r="N22" i="3"/>
  <c r="X22" i="3"/>
  <c r="Y22" i="3" s="1"/>
  <c r="AO22" i="3"/>
  <c r="N23" i="3"/>
  <c r="X23" i="3"/>
  <c r="AO23" i="3"/>
  <c r="G16" i="4" l="1"/>
  <c r="G8" i="12"/>
  <c r="G16" i="11"/>
  <c r="E9" i="11"/>
  <c r="E10" i="12"/>
  <c r="E13" i="11"/>
  <c r="E20" i="12"/>
  <c r="E9" i="12"/>
  <c r="E20" i="11"/>
  <c r="G10" i="4"/>
  <c r="G10" i="11"/>
  <c r="G11" i="12"/>
  <c r="E18" i="11"/>
  <c r="E18" i="4"/>
  <c r="E16" i="12"/>
  <c r="G13" i="12"/>
  <c r="G15" i="11"/>
  <c r="G12" i="4"/>
  <c r="G17" i="12"/>
  <c r="G12" i="11"/>
  <c r="G6" i="4"/>
  <c r="G6" i="11"/>
  <c r="G14" i="12"/>
  <c r="G9" i="4"/>
  <c r="G9" i="11"/>
  <c r="G10" i="12"/>
  <c r="E14" i="11"/>
  <c r="E19" i="12"/>
  <c r="E10" i="11"/>
  <c r="E11" i="12"/>
  <c r="G9" i="12"/>
  <c r="G20" i="11"/>
  <c r="G6" i="12"/>
  <c r="G8" i="11"/>
  <c r="E7" i="11"/>
  <c r="E15" i="12"/>
  <c r="G19" i="11"/>
  <c r="G18" i="12"/>
  <c r="G7" i="4"/>
  <c r="G15" i="12"/>
  <c r="G7" i="11"/>
  <c r="E19" i="11"/>
  <c r="E18" i="12"/>
  <c r="G18" i="11"/>
  <c r="G16" i="12"/>
  <c r="G20" i="4"/>
  <c r="E11" i="11"/>
  <c r="E7" i="12"/>
  <c r="G14" i="11"/>
  <c r="G19" i="12"/>
  <c r="G13" i="11"/>
  <c r="G20" i="12"/>
  <c r="G11" i="4"/>
  <c r="G7" i="12"/>
  <c r="G11" i="11"/>
  <c r="G17" i="11"/>
  <c r="G12" i="12"/>
  <c r="G19" i="4"/>
  <c r="E6" i="12"/>
  <c r="E8" i="11"/>
  <c r="AZ22" i="3"/>
  <c r="AY21" i="3"/>
  <c r="Y23" i="3"/>
  <c r="AY23" i="3" s="1"/>
  <c r="AY22" i="3"/>
  <c r="AY19" i="3"/>
  <c r="H10" i="11" l="1"/>
  <c r="I10" i="11"/>
  <c r="H11" i="12"/>
  <c r="I11" i="12"/>
  <c r="AZ23" i="3"/>
  <c r="X10" i="3" l="1"/>
  <c r="X11" i="3"/>
  <c r="E7" i="4" l="1"/>
  <c r="E9" i="4"/>
  <c r="E11" i="4"/>
  <c r="E13" i="4"/>
  <c r="E15" i="4"/>
  <c r="E17" i="4"/>
  <c r="E19" i="4"/>
  <c r="R5" i="9"/>
  <c r="E8" i="4"/>
  <c r="E10" i="4"/>
  <c r="I10" i="4" s="1"/>
  <c r="E12" i="4"/>
  <c r="E14" i="4"/>
  <c r="E16" i="4"/>
  <c r="E20" i="4"/>
  <c r="AO8" i="3"/>
  <c r="E6" i="4" l="1"/>
  <c r="I6" i="4" s="1"/>
  <c r="E6" i="11"/>
  <c r="E14" i="12"/>
  <c r="D15" i="1"/>
  <c r="D11" i="1"/>
  <c r="D10" i="1"/>
  <c r="D9" i="1"/>
  <c r="D21" i="1"/>
  <c r="D17" i="1"/>
  <c r="D19" i="1"/>
  <c r="D20" i="1"/>
  <c r="D23" i="1"/>
  <c r="D14" i="1"/>
  <c r="D13" i="1"/>
  <c r="D12" i="1"/>
  <c r="D16" i="1"/>
  <c r="D18" i="1"/>
  <c r="D22" i="1"/>
  <c r="AO17" i="3"/>
  <c r="X17" i="3"/>
  <c r="N17" i="3"/>
  <c r="AO14" i="3"/>
  <c r="X14" i="3"/>
  <c r="N14" i="3"/>
  <c r="AO18" i="3"/>
  <c r="X18" i="3"/>
  <c r="N18" i="3"/>
  <c r="AO9" i="3"/>
  <c r="X9" i="3"/>
  <c r="N9" i="3"/>
  <c r="AO15" i="3"/>
  <c r="X15" i="3"/>
  <c r="N15" i="3"/>
  <c r="AV12" i="3"/>
  <c r="AO12" i="3"/>
  <c r="X12" i="3"/>
  <c r="N12" i="3"/>
  <c r="AV13" i="3"/>
  <c r="AO13" i="3"/>
  <c r="X13" i="3"/>
  <c r="N13" i="3"/>
  <c r="AV10" i="3"/>
  <c r="AO10" i="3"/>
  <c r="N10" i="3"/>
  <c r="Y10" i="3" s="1"/>
  <c r="AV11" i="3"/>
  <c r="AO11" i="3"/>
  <c r="N11" i="3"/>
  <c r="AV16" i="3"/>
  <c r="AO16" i="3"/>
  <c r="X16" i="3"/>
  <c r="N16" i="3"/>
  <c r="AV8" i="3"/>
  <c r="X8" i="3"/>
  <c r="I14" i="12" l="1"/>
  <c r="H14" i="12"/>
  <c r="H6" i="11"/>
  <c r="I6" i="11"/>
  <c r="Y15" i="3"/>
  <c r="Y12" i="3"/>
  <c r="Y11" i="3"/>
  <c r="Y16" i="3"/>
  <c r="AX16" i="3" s="1"/>
  <c r="Y14" i="3"/>
  <c r="Y13" i="3"/>
  <c r="Y9" i="3"/>
  <c r="Y17" i="3"/>
  <c r="Y8" i="3"/>
  <c r="AY8" i="3" s="1"/>
  <c r="Y18" i="3"/>
  <c r="AZ8" i="3"/>
  <c r="AX10" i="3"/>
  <c r="AW10" i="3"/>
  <c r="AH7" i="1"/>
  <c r="AX7" i="1" s="1"/>
  <c r="AV22" i="1"/>
  <c r="AV23" i="1"/>
  <c r="AG22" i="1"/>
  <c r="AG23" i="1"/>
  <c r="W22" i="1"/>
  <c r="W23" i="1"/>
  <c r="N22" i="1"/>
  <c r="N23" i="1"/>
  <c r="AV21" i="1"/>
  <c r="AG21" i="1"/>
  <c r="W21" i="1"/>
  <c r="N21" i="1"/>
  <c r="AV20" i="1"/>
  <c r="AG20" i="1"/>
  <c r="W20" i="1"/>
  <c r="N20" i="1"/>
  <c r="AV19" i="1"/>
  <c r="AG19" i="1"/>
  <c r="W19" i="1"/>
  <c r="N19" i="1"/>
  <c r="AV18" i="1"/>
  <c r="AG18" i="1"/>
  <c r="W18" i="1"/>
  <c r="N18" i="1"/>
  <c r="AV17" i="1"/>
  <c r="AG17" i="1"/>
  <c r="W17" i="1"/>
  <c r="N17" i="1"/>
  <c r="AV16" i="1"/>
  <c r="AG16" i="1"/>
  <c r="W16" i="1"/>
  <c r="N16" i="1"/>
  <c r="AV15" i="1"/>
  <c r="AG15" i="1"/>
  <c r="W15" i="1"/>
  <c r="N15" i="1"/>
  <c r="AV14" i="1"/>
  <c r="AG14" i="1"/>
  <c r="W14" i="1"/>
  <c r="N14" i="1"/>
  <c r="AV13" i="1"/>
  <c r="AG13" i="1"/>
  <c r="W13" i="1"/>
  <c r="N13" i="1"/>
  <c r="AV12" i="1"/>
  <c r="AG12" i="1"/>
  <c r="W12" i="1"/>
  <c r="N12" i="1"/>
  <c r="AV11" i="1"/>
  <c r="AG11" i="1"/>
  <c r="W11" i="1"/>
  <c r="N11" i="1"/>
  <c r="AV10" i="1"/>
  <c r="AG10" i="1"/>
  <c r="W10" i="1"/>
  <c r="N10" i="1"/>
  <c r="AV9" i="1"/>
  <c r="AG9" i="1"/>
  <c r="W9" i="1"/>
  <c r="N9" i="1"/>
  <c r="AV8" i="1"/>
  <c r="AG8" i="1"/>
  <c r="W8" i="1"/>
  <c r="N8" i="1"/>
  <c r="AX12" i="3" l="1"/>
  <c r="AW11" i="3"/>
  <c r="AX11" i="3"/>
  <c r="AZ16" i="3"/>
  <c r="AW16" i="3"/>
  <c r="AY16" i="3"/>
  <c r="AX13" i="3"/>
  <c r="H10" i="4"/>
  <c r="AY9" i="3"/>
  <c r="AZ9" i="3"/>
  <c r="AZ17" i="3"/>
  <c r="AY17" i="3"/>
  <c r="AW12" i="3"/>
  <c r="AY12" i="3"/>
  <c r="AZ12" i="3"/>
  <c r="AW13" i="3"/>
  <c r="AY13" i="3"/>
  <c r="AZ13" i="3"/>
  <c r="AY15" i="3"/>
  <c r="AZ15" i="3"/>
  <c r="AY10" i="3"/>
  <c r="AZ10" i="3"/>
  <c r="AY11" i="3"/>
  <c r="AZ11" i="3"/>
  <c r="AY18" i="3"/>
  <c r="AZ18" i="3"/>
  <c r="AY14" i="3"/>
  <c r="AZ14" i="3"/>
  <c r="AH23" i="1"/>
  <c r="AY23" i="1" s="1"/>
  <c r="AH15" i="1"/>
  <c r="AH22" i="1"/>
  <c r="AH8" i="1"/>
  <c r="AH21" i="1"/>
  <c r="AH10" i="1"/>
  <c r="AH12" i="1"/>
  <c r="AH18" i="1"/>
  <c r="AH11" i="1"/>
  <c r="AH16" i="1"/>
  <c r="AH14" i="1"/>
  <c r="AH20" i="1"/>
  <c r="AH13" i="1"/>
  <c r="AH19" i="1"/>
  <c r="AH9" i="1"/>
  <c r="AH17" i="1"/>
  <c r="F20" i="7" l="1"/>
  <c r="AX23" i="1"/>
  <c r="AY20" i="1"/>
  <c r="AY18" i="1"/>
  <c r="AY19" i="1"/>
  <c r="AY22" i="1"/>
  <c r="AY13" i="1"/>
  <c r="AY17" i="1"/>
  <c r="AX9" i="1"/>
  <c r="AX14" i="1"/>
  <c r="AY14" i="1"/>
  <c r="AY12" i="1"/>
  <c r="AY15" i="1"/>
  <c r="AY11" i="1"/>
  <c r="AY21" i="1"/>
  <c r="AX10" i="1"/>
  <c r="AY10" i="1"/>
  <c r="AY16" i="1"/>
  <c r="AY9" i="1"/>
  <c r="AX11" i="1"/>
  <c r="AX15" i="1"/>
  <c r="AX21" i="1"/>
  <c r="AX22" i="1"/>
  <c r="AX8" i="1"/>
  <c r="AY8" i="1"/>
  <c r="AX18" i="1"/>
  <c r="AX12" i="1"/>
  <c r="AX16" i="1"/>
  <c r="AX20" i="1"/>
  <c r="AX19" i="1"/>
  <c r="AX17" i="1"/>
  <c r="AX13" i="1"/>
  <c r="F20" i="4" l="1"/>
  <c r="I20" i="4" s="1"/>
  <c r="F9" i="12"/>
  <c r="F20" i="11"/>
  <c r="F11" i="7"/>
  <c r="F15" i="7"/>
  <c r="F11" i="4" l="1"/>
  <c r="F7" i="12"/>
  <c r="F11" i="11"/>
  <c r="F15" i="4"/>
  <c r="H15" i="4" s="1"/>
  <c r="F15" i="11"/>
  <c r="F13" i="12"/>
  <c r="H20" i="4"/>
  <c r="H20" i="11"/>
  <c r="I20" i="11"/>
  <c r="I9" i="12"/>
  <c r="H9" i="12"/>
  <c r="I15" i="4"/>
  <c r="I11" i="4"/>
  <c r="H11" i="4"/>
  <c r="F7" i="7"/>
  <c r="F16" i="7"/>
  <c r="F8" i="7"/>
  <c r="F19" i="7"/>
  <c r="F12" i="7"/>
  <c r="F18" i="7"/>
  <c r="F10" i="7"/>
  <c r="F14" i="7"/>
  <c r="F17" i="7"/>
  <c r="F9" i="7"/>
  <c r="F13" i="7"/>
  <c r="F6" i="7"/>
  <c r="F19" i="4" l="1"/>
  <c r="F18" i="12"/>
  <c r="F19" i="11"/>
  <c r="H15" i="11"/>
  <c r="I15" i="11"/>
  <c r="F17" i="4"/>
  <c r="F17" i="11"/>
  <c r="F12" i="12"/>
  <c r="H13" i="12"/>
  <c r="I13" i="12"/>
  <c r="H11" i="11"/>
  <c r="I11" i="11"/>
  <c r="F8" i="4"/>
  <c r="F8" i="11"/>
  <c r="F6" i="12"/>
  <c r="F13" i="4"/>
  <c r="I13" i="4" s="1"/>
  <c r="F20" i="12"/>
  <c r="F13" i="11"/>
  <c r="I7" i="12"/>
  <c r="H7" i="12"/>
  <c r="F14" i="4"/>
  <c r="F14" i="11"/>
  <c r="F19" i="12"/>
  <c r="F18" i="4"/>
  <c r="I18" i="4" s="1"/>
  <c r="F18" i="11"/>
  <c r="F16" i="12"/>
  <c r="F12" i="4"/>
  <c r="F17" i="12"/>
  <c r="F12" i="11"/>
  <c r="F16" i="4"/>
  <c r="F16" i="11"/>
  <c r="F8" i="12"/>
  <c r="F7" i="4"/>
  <c r="F15" i="12"/>
  <c r="F7" i="11"/>
  <c r="F9" i="4"/>
  <c r="I9" i="4" s="1"/>
  <c r="F10" i="12"/>
  <c r="F9" i="11"/>
  <c r="H13" i="4"/>
  <c r="I12" i="4"/>
  <c r="H12" i="4"/>
  <c r="I7" i="4"/>
  <c r="H7" i="4"/>
  <c r="H9" i="4"/>
  <c r="H6" i="4"/>
  <c r="H19" i="4"/>
  <c r="I19" i="4"/>
  <c r="I8" i="4"/>
  <c r="H8" i="4"/>
  <c r="I16" i="4"/>
  <c r="H16" i="4"/>
  <c r="I17" i="4"/>
  <c r="H17" i="4"/>
  <c r="I14" i="4"/>
  <c r="H14" i="4"/>
  <c r="H17" i="11" l="1"/>
  <c r="I17" i="11"/>
  <c r="H15" i="12"/>
  <c r="I15" i="12"/>
  <c r="H8" i="12"/>
  <c r="I8" i="12"/>
  <c r="H20" i="12"/>
  <c r="I20" i="12"/>
  <c r="H19" i="12"/>
  <c r="I19" i="12"/>
  <c r="H12" i="12"/>
  <c r="I12" i="12"/>
  <c r="H16" i="11"/>
  <c r="I16" i="11"/>
  <c r="H18" i="4"/>
  <c r="H13" i="11"/>
  <c r="I13" i="11"/>
  <c r="H17" i="12"/>
  <c r="I17" i="12"/>
  <c r="H19" i="11"/>
  <c r="I19" i="11"/>
  <c r="H16" i="12"/>
  <c r="I16" i="12"/>
  <c r="H8" i="11"/>
  <c r="I8" i="11"/>
  <c r="H18" i="12"/>
  <c r="I18" i="12"/>
  <c r="I7" i="11"/>
  <c r="H7" i="11"/>
  <c r="H14" i="11"/>
  <c r="I14" i="11"/>
  <c r="H12" i="11"/>
  <c r="I12" i="11"/>
  <c r="H6" i="12"/>
  <c r="I6" i="12"/>
  <c r="H9" i="11"/>
  <c r="I9" i="11"/>
  <c r="I10" i="12"/>
  <c r="H10" i="12"/>
  <c r="H18" i="11"/>
  <c r="I18" i="11"/>
</calcChain>
</file>

<file path=xl/sharedStrings.xml><?xml version="1.0" encoding="utf-8"?>
<sst xmlns="http://schemas.openxmlformats.org/spreadsheetml/2006/main" count="330" uniqueCount="140">
  <si>
    <t>No.</t>
  </si>
  <si>
    <t>Nama Peserta</t>
  </si>
  <si>
    <t>Nama Sekolah</t>
  </si>
  <si>
    <t>Skor Teori Akuntansi</t>
  </si>
  <si>
    <t>Skor Praktik Akuntansi Manual SESI 1</t>
  </si>
  <si>
    <t>Skor Praktik Akuntansi Manual SESI 2</t>
  </si>
  <si>
    <t>Skor Praktek Akuntansi Manual SESI 3</t>
  </si>
  <si>
    <t>Skor Aplikasi Komputer Akuntansi</t>
  </si>
  <si>
    <t>Skor Presentasi</t>
  </si>
  <si>
    <t>TOTAL1</t>
  </si>
  <si>
    <t>TOTAL2</t>
  </si>
  <si>
    <t>Presentasi</t>
  </si>
  <si>
    <t>Nilai Akhir Total</t>
  </si>
  <si>
    <t xml:space="preserve">Nilai Akhir Total Konversi  </t>
  </si>
  <si>
    <t>Jurnal Pembelian</t>
  </si>
  <si>
    <t>Pengeluaran kas</t>
  </si>
  <si>
    <t>Jurnal Umum</t>
  </si>
  <si>
    <t>Jurnal Penjualan</t>
  </si>
  <si>
    <t>Penerimaan Kas</t>
  </si>
  <si>
    <t>Sikap</t>
  </si>
  <si>
    <t>entri jurnal</t>
  </si>
  <si>
    <t>Posting</t>
  </si>
  <si>
    <t>Kartu Persediaan</t>
  </si>
  <si>
    <t>Neraca Saldo</t>
  </si>
  <si>
    <t>buku besar</t>
  </si>
  <si>
    <t>Penyesuaian</t>
  </si>
  <si>
    <t>Kertas kerja</t>
  </si>
  <si>
    <t>Neraca</t>
  </si>
  <si>
    <t>Laba Rugi</t>
  </si>
  <si>
    <t>Laba Ditahan</t>
  </si>
  <si>
    <t>Arus Kas</t>
  </si>
  <si>
    <t>jurnal penutup</t>
  </si>
  <si>
    <t>NS penutupan</t>
  </si>
  <si>
    <t>sikap</t>
  </si>
  <si>
    <t>laporan keuangan</t>
  </si>
  <si>
    <t>Sub Total</t>
  </si>
  <si>
    <t>data bisnis</t>
  </si>
  <si>
    <t>daftar akun</t>
  </si>
  <si>
    <t>data pelanggan</t>
  </si>
  <si>
    <t>data supplier</t>
  </si>
  <si>
    <t>persediaan</t>
  </si>
  <si>
    <t>J. Kas Masuk</t>
  </si>
  <si>
    <t>J. Kas Keluar</t>
  </si>
  <si>
    <t>J. Pemb</t>
  </si>
  <si>
    <t>J. Penj</t>
  </si>
  <si>
    <t>J. Umum</t>
  </si>
  <si>
    <t>J. Penyesuaian</t>
  </si>
  <si>
    <t>L/R</t>
  </si>
  <si>
    <t>LAK</t>
  </si>
  <si>
    <t>penguasaan materi</t>
  </si>
  <si>
    <t>sistematika penyajian</t>
  </si>
  <si>
    <t>kebenaran menjawab</t>
  </si>
  <si>
    <t>penampilan</t>
  </si>
  <si>
    <t>bahasa inggris</t>
  </si>
  <si>
    <t>penggunaan media</t>
  </si>
  <si>
    <t>BBP Piutang</t>
  </si>
  <si>
    <t>BBP Utang</t>
  </si>
  <si>
    <t>Rekap Jurnal Pembelian</t>
  </si>
  <si>
    <t>Rekap Jurnal Penjualan</t>
  </si>
  <si>
    <t>Rekap Pengeluaran kas</t>
  </si>
  <si>
    <t>Rekap Penerimaan Kas</t>
  </si>
  <si>
    <t>Rekap Jurnal Umum</t>
  </si>
  <si>
    <t>MATA LOMBA AKUNTANSI</t>
  </si>
  <si>
    <t>REKAPITULASI NILAI LOMBA KETERAMPILAN SISWA (LKS) TINGKAT JAWA TENGAH</t>
  </si>
  <si>
    <t>SURAKARTA, 14-16 SEPTEMBER 2016</t>
  </si>
  <si>
    <t>Nilai Akhir</t>
  </si>
  <si>
    <t>Jumlah</t>
  </si>
  <si>
    <t>FORM PENILAIAN MATA UJI PRESENTASI BAHASA INGGRIS</t>
  </si>
  <si>
    <t>NO.</t>
  </si>
  <si>
    <t>ITEM PENILAIAN</t>
  </si>
  <si>
    <t>SKOR</t>
  </si>
  <si>
    <t>NAMA</t>
  </si>
  <si>
    <t>NOMOR</t>
  </si>
  <si>
    <t>TOTAL</t>
  </si>
  <si>
    <t>Dewan Juri</t>
  </si>
  <si>
    <t>Nilai Juri 1</t>
  </si>
  <si>
    <t>Juri 1</t>
  </si>
  <si>
    <t>Juri 2</t>
  </si>
  <si>
    <t>FILE &amp; AKUN</t>
  </si>
  <si>
    <t>DAFTAR AKUN</t>
  </si>
  <si>
    <t>CUST</t>
  </si>
  <si>
    <t>SUPP</t>
  </si>
  <si>
    <t>INVENTORY</t>
  </si>
  <si>
    <t>CASH RECEIPT</t>
  </si>
  <si>
    <t>CASH PAYMENT</t>
  </si>
  <si>
    <t>SALES</t>
  </si>
  <si>
    <t>PEMBELIAN</t>
  </si>
  <si>
    <t>JURNAL UMUM</t>
  </si>
  <si>
    <t>L/K</t>
  </si>
  <si>
    <t>KECEPATAN</t>
  </si>
  <si>
    <t>KETEPATAN</t>
  </si>
  <si>
    <t>Nilai Juri 2</t>
  </si>
  <si>
    <t>Peringkat</t>
  </si>
  <si>
    <t>No. Peserta</t>
  </si>
  <si>
    <t>REKAPITULASI NILAI LOMBA KETERAMPILAN SISWA (LKS) KABUPATEN DEMAK</t>
  </si>
  <si>
    <t>DEMAK, 13 SEPTEMBER 2017</t>
  </si>
  <si>
    <t>Nasywa Inas Royanita Syafroni</t>
  </si>
  <si>
    <t>Anisya Rosyidiana</t>
  </si>
  <si>
    <t>Bella Fadila Utami</t>
  </si>
  <si>
    <t>Aullyaa' Putri Ayoe</t>
  </si>
  <si>
    <t>Nabila Putri Abadi</t>
  </si>
  <si>
    <t>Alfiana Azzahro Rudianingrum</t>
  </si>
  <si>
    <t>Nurul Fitri W</t>
  </si>
  <si>
    <t>Eka Maghrifa</t>
  </si>
  <si>
    <t>Izza Nisa'ul Fikri</t>
  </si>
  <si>
    <t>Luh Sinta Kemalahati</t>
  </si>
  <si>
    <t>Annisa Nur Haiizan</t>
  </si>
  <si>
    <t>Waahyuningrum</t>
  </si>
  <si>
    <t>Febriana Lisa S</t>
  </si>
  <si>
    <t>Michael Christ Kurniawan</t>
  </si>
  <si>
    <t>Yunita Fitriani</t>
  </si>
  <si>
    <t>Total</t>
  </si>
  <si>
    <t>LOMBA KETERAMPILAN SISWA (LKS) TINGKAT KOTA SEMARANG</t>
  </si>
  <si>
    <t>SEMARANG, 16-17 MARET 2022</t>
  </si>
  <si>
    <t>Semarang, 17 Maret 2022</t>
  </si>
  <si>
    <t>Grammar</t>
  </si>
  <si>
    <t>RENTANG SKOR</t>
  </si>
  <si>
    <t>Accuracy</t>
  </si>
  <si>
    <t>Fluency</t>
  </si>
  <si>
    <t>Pronounciation</t>
  </si>
  <si>
    <t>Overall Performance</t>
  </si>
  <si>
    <t>5-10</t>
  </si>
  <si>
    <t>5-25</t>
  </si>
  <si>
    <t>5-20</t>
  </si>
  <si>
    <t>5-15</t>
  </si>
  <si>
    <t>5-30</t>
  </si>
  <si>
    <t>:</t>
  </si>
  <si>
    <t>REKAPITULASI NILAI LOMBA KOMPETENSI SISWA (LKS) KOTA SEMARANG</t>
  </si>
  <si>
    <t>REKAPITULASI NILAI PRESENTASI LKS KOTA SEMARANG</t>
  </si>
  <si>
    <t>Kardiyem, S.Pd., M.Pd., CAAT., CADE., CQnR.</t>
  </si>
  <si>
    <t>Semarang,  17 Maret 2022</t>
  </si>
  <si>
    <t>Jumlah Benar</t>
  </si>
  <si>
    <t>Benar X Skor</t>
  </si>
  <si>
    <t>Praktik Akuntansi Manual (45%)</t>
  </si>
  <si>
    <t>Praktik Komputer Akuntansi (35%)</t>
  </si>
  <si>
    <t>Presentasi (10%)</t>
  </si>
  <si>
    <t>Teori Akuntansi (10%)</t>
  </si>
  <si>
    <t>Utik Titiastri, SE. Akt. CA.CPA.</t>
  </si>
  <si>
    <t>Kardiyem, S.Pd., M.Pd., CAAT., CADE., CQnR.,CRMP</t>
  </si>
  <si>
    <t>Juri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</si>
</sst>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_-* #,##0.0_-;\-* #,##0.0_-;_-* &quot;-&quot;_-;_-@_-"/>
  </numFmts>
  <fonts count="1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9" fontId="7" fillId="4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9" fontId="7" fillId="5" borderId="4" xfId="0" applyNumberFormat="1" applyFont="1" applyFill="1" applyBorder="1" applyAlignment="1">
      <alignment horizontal="center" vertical="center" wrapText="1"/>
    </xf>
    <xf numFmtId="9" fontId="7" fillId="5" borderId="4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" fontId="7" fillId="3" borderId="4" xfId="2" applyNumberFormat="1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165" fontId="11" fillId="0" borderId="4" xfId="1" applyNumberFormat="1" applyFont="1" applyFill="1" applyBorder="1" applyAlignment="1">
      <alignment horizontal="center" vertical="center"/>
    </xf>
    <xf numFmtId="165" fontId="10" fillId="3" borderId="4" xfId="1" applyNumberFormat="1" applyFont="1" applyFill="1" applyBorder="1" applyAlignment="1">
      <alignment horizontal="center" vertical="center" wrapText="1"/>
    </xf>
    <xf numFmtId="165" fontId="10" fillId="3" borderId="1" xfId="1" applyNumberFormat="1" applyFont="1" applyFill="1" applyBorder="1" applyAlignment="1">
      <alignment horizontal="center" vertical="center" wrapText="1"/>
    </xf>
    <xf numFmtId="165" fontId="11" fillId="6" borderId="1" xfId="1" applyNumberFormat="1" applyFont="1" applyFill="1" applyBorder="1" applyAlignment="1">
      <alignment horizontal="center" vertical="center" wrapText="1"/>
    </xf>
    <xf numFmtId="165" fontId="10" fillId="0" borderId="4" xfId="1" applyNumberFormat="1" applyFont="1" applyFill="1" applyBorder="1" applyAlignment="1">
      <alignment horizontal="center" vertical="center"/>
    </xf>
    <xf numFmtId="0" fontId="0" fillId="0" borderId="4" xfId="0" applyBorder="1"/>
    <xf numFmtId="0" fontId="12" fillId="0" borderId="0" xfId="0" applyFont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7" borderId="4" xfId="0" applyFont="1" applyFill="1" applyBorder="1" applyAlignment="1">
      <alignment horizontal="center" vertical="center"/>
    </xf>
    <xf numFmtId="165" fontId="10" fillId="8" borderId="1" xfId="1" applyNumberFormat="1" applyFont="1" applyFill="1" applyBorder="1" applyAlignment="1">
      <alignment horizontal="center" vertical="center" wrapText="1"/>
    </xf>
    <xf numFmtId="165" fontId="11" fillId="4" borderId="4" xfId="1" applyNumberFormat="1" applyFont="1" applyFill="1" applyBorder="1" applyAlignment="1">
      <alignment horizontal="center" vertical="center"/>
    </xf>
    <xf numFmtId="164" fontId="10" fillId="9" borderId="4" xfId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3" fillId="0" borderId="0" xfId="0" applyFont="1" applyAlignment="1">
      <alignment vertical="center"/>
    </xf>
    <xf numFmtId="2" fontId="0" fillId="0" borderId="0" xfId="0" applyNumberFormat="1"/>
    <xf numFmtId="2" fontId="13" fillId="0" borderId="4" xfId="0" applyNumberFormat="1" applyFont="1" applyBorder="1"/>
    <xf numFmtId="2" fontId="7" fillId="3" borderId="4" xfId="2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2" fontId="11" fillId="0" borderId="4" xfId="1" applyNumberFormat="1" applyFont="1" applyFill="1" applyBorder="1" applyAlignment="1">
      <alignment horizontal="center" vertical="center"/>
    </xf>
    <xf numFmtId="2" fontId="10" fillId="3" borderId="4" xfId="1" applyNumberFormat="1" applyFont="1" applyFill="1" applyBorder="1" applyAlignment="1">
      <alignment horizontal="center" vertical="center" wrapText="1"/>
    </xf>
    <xf numFmtId="2" fontId="10" fillId="3" borderId="1" xfId="1" applyNumberFormat="1" applyFont="1" applyFill="1" applyBorder="1" applyAlignment="1">
      <alignment horizontal="center" vertical="center" wrapText="1"/>
    </xf>
    <xf numFmtId="2" fontId="11" fillId="6" borderId="1" xfId="1" applyNumberFormat="1" applyFont="1" applyFill="1" applyBorder="1" applyAlignment="1">
      <alignment horizontal="center" vertical="center" wrapText="1"/>
    </xf>
    <xf numFmtId="2" fontId="11" fillId="6" borderId="4" xfId="1" applyNumberFormat="1" applyFont="1" applyFill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11" fillId="7" borderId="4" xfId="0" applyFont="1" applyFill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vertical="center"/>
    </xf>
    <xf numFmtId="16" fontId="0" fillId="0" borderId="4" xfId="0" quotePrefix="1" applyNumberFormat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2" fontId="13" fillId="4" borderId="4" xfId="0" applyNumberFormat="1" applyFont="1" applyFill="1" applyBorder="1"/>
    <xf numFmtId="2" fontId="11" fillId="6" borderId="8" xfId="1" applyNumberFormat="1" applyFont="1" applyFill="1" applyBorder="1" applyAlignment="1">
      <alignment horizontal="center" vertical="center" wrapText="1"/>
    </xf>
    <xf numFmtId="2" fontId="11" fillId="6" borderId="5" xfId="1" applyNumberFormat="1" applyFont="1" applyFill="1" applyBorder="1" applyAlignment="1">
      <alignment horizontal="center" vertical="center" wrapText="1"/>
    </xf>
    <xf numFmtId="2" fontId="11" fillId="6" borderId="9" xfId="1" applyNumberFormat="1" applyFont="1" applyFill="1" applyBorder="1" applyAlignment="1">
      <alignment horizontal="center" vertical="center" wrapText="1"/>
    </xf>
    <xf numFmtId="2" fontId="11" fillId="6" borderId="10" xfId="1" applyNumberFormat="1" applyFont="1" applyFill="1" applyBorder="1" applyAlignment="1">
      <alignment horizontal="center" vertical="center" wrapText="1"/>
    </xf>
    <xf numFmtId="2" fontId="11" fillId="6" borderId="11" xfId="1" applyNumberFormat="1" applyFont="1" applyFill="1" applyBorder="1" applyAlignment="1">
      <alignment horizontal="center" vertical="center" wrapText="1"/>
    </xf>
    <xf numFmtId="2" fontId="11" fillId="0" borderId="10" xfId="1" applyNumberFormat="1" applyFont="1" applyFill="1" applyBorder="1" applyAlignment="1">
      <alignment horizontal="center" vertical="center"/>
    </xf>
    <xf numFmtId="2" fontId="11" fillId="0" borderId="11" xfId="1" applyNumberFormat="1" applyFont="1" applyFill="1" applyBorder="1" applyAlignment="1">
      <alignment horizontal="center" vertical="center"/>
    </xf>
    <xf numFmtId="2" fontId="11" fillId="0" borderId="12" xfId="1" applyNumberFormat="1" applyFont="1" applyFill="1" applyBorder="1" applyAlignment="1">
      <alignment horizontal="center" vertical="center"/>
    </xf>
    <xf numFmtId="2" fontId="11" fillId="0" borderId="2" xfId="1" applyNumberFormat="1" applyFont="1" applyFill="1" applyBorder="1" applyAlignment="1">
      <alignment horizontal="center" vertical="center"/>
    </xf>
    <xf numFmtId="2" fontId="11" fillId="0" borderId="13" xfId="1" applyNumberFormat="1" applyFont="1" applyFill="1" applyBorder="1" applyAlignment="1">
      <alignment horizontal="center" vertical="center"/>
    </xf>
    <xf numFmtId="2" fontId="0" fillId="0" borderId="4" xfId="0" applyNumberFormat="1" applyBorder="1"/>
    <xf numFmtId="2" fontId="7" fillId="7" borderId="2" xfId="0" applyNumberFormat="1" applyFont="1" applyFill="1" applyBorder="1" applyAlignment="1">
      <alignment vertical="center" wrapText="1"/>
    </xf>
    <xf numFmtId="2" fontId="7" fillId="7" borderId="5" xfId="0" applyNumberFormat="1" applyFont="1" applyFill="1" applyBorder="1" applyAlignment="1">
      <alignment vertical="center" wrapText="1"/>
    </xf>
    <xf numFmtId="0" fontId="0" fillId="0" borderId="14" xfId="0" applyBorder="1" applyAlignment="1">
      <alignment horizontal="center"/>
    </xf>
    <xf numFmtId="2" fontId="0" fillId="4" borderId="4" xfId="0" applyNumberFormat="1" applyFill="1" applyBorder="1"/>
    <xf numFmtId="0" fontId="7" fillId="8" borderId="4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8" borderId="4" xfId="0" applyFill="1" applyBorder="1"/>
    <xf numFmtId="0" fontId="11" fillId="8" borderId="4" xfId="0" applyFont="1" applyFill="1" applyBorder="1" applyAlignment="1">
      <alignment vertical="center"/>
    </xf>
    <xf numFmtId="2" fontId="13" fillId="8" borderId="4" xfId="0" applyNumberFormat="1" applyFont="1" applyFill="1" applyBorder="1"/>
    <xf numFmtId="2" fontId="5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 wrapText="1"/>
    </xf>
    <xf numFmtId="2" fontId="6" fillId="2" borderId="7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J30"/>
  <sheetViews>
    <sheetView tabSelected="1" workbookViewId="0">
      <selection activeCell="I9" sqref="I9"/>
    </sheetView>
  </sheetViews>
  <sheetFormatPr defaultColWidth="9.1796875" defaultRowHeight="14" x14ac:dyDescent="0.35"/>
  <cols>
    <col min="1" max="1" width="5.7265625" style="5" customWidth="1"/>
    <col min="2" max="2" width="26.54296875" style="5" customWidth="1"/>
    <col min="3" max="3" width="22.54296875" style="5" customWidth="1"/>
    <col min="4" max="4" width="19.26953125" style="5" customWidth="1"/>
    <col min="5" max="5" width="20.7265625" style="5" customWidth="1"/>
    <col min="6" max="6" width="13.54296875" style="5" customWidth="1"/>
    <col min="7" max="7" width="12.7265625" style="5" customWidth="1"/>
    <col min="8" max="8" width="11.54296875" style="5" customWidth="1"/>
    <col min="9" max="9" width="11.7265625" style="5" customWidth="1"/>
    <col min="10" max="10" width="12.7265625" style="5" customWidth="1"/>
    <col min="11" max="16384" width="9.1796875" style="5"/>
  </cols>
  <sheetData>
    <row r="1" spans="1:10" ht="22.5" customHeight="1" x14ac:dyDescent="0.35">
      <c r="A1" s="1" t="s">
        <v>127</v>
      </c>
      <c r="B1" s="2"/>
      <c r="C1" s="2"/>
    </row>
    <row r="2" spans="1:10" ht="22.5" customHeight="1" x14ac:dyDescent="0.35">
      <c r="A2" s="1" t="s">
        <v>62</v>
      </c>
      <c r="B2" s="2"/>
      <c r="C2" s="2"/>
    </row>
    <row r="3" spans="1:10" ht="22.5" customHeight="1" x14ac:dyDescent="0.35">
      <c r="A3" s="1" t="s">
        <v>113</v>
      </c>
      <c r="B3" s="2"/>
      <c r="C3" s="2"/>
    </row>
    <row r="4" spans="1:10" ht="15.5" x14ac:dyDescent="0.35">
      <c r="A4" s="6"/>
      <c r="B4" s="4"/>
    </row>
    <row r="5" spans="1:10" ht="54" customHeight="1" x14ac:dyDescent="0.35">
      <c r="A5" s="56" t="s">
        <v>93</v>
      </c>
      <c r="B5" s="56" t="s">
        <v>1</v>
      </c>
      <c r="C5" s="56" t="s">
        <v>2</v>
      </c>
      <c r="D5" s="77" t="s">
        <v>133</v>
      </c>
      <c r="E5" s="76" t="s">
        <v>134</v>
      </c>
      <c r="F5" s="78" t="s">
        <v>135</v>
      </c>
      <c r="G5" s="76" t="s">
        <v>136</v>
      </c>
      <c r="H5" s="56" t="s">
        <v>66</v>
      </c>
      <c r="I5" s="56" t="s">
        <v>65</v>
      </c>
      <c r="J5" s="57" t="s">
        <v>92</v>
      </c>
    </row>
    <row r="6" spans="1:10" ht="19.5" customHeight="1" x14ac:dyDescent="0.35">
      <c r="A6" s="72">
        <v>3</v>
      </c>
      <c r="B6" s="73" t="s">
        <v>98</v>
      </c>
      <c r="C6" s="58"/>
      <c r="D6" s="65">
        <v>90</v>
      </c>
      <c r="E6" s="65">
        <f>'Komputer Akuntansi'!R7</f>
        <v>78.740765954475634</v>
      </c>
      <c r="F6" s="65">
        <f>'Rekap Nilai Presentasi'!F8</f>
        <v>93</v>
      </c>
      <c r="G6" s="65">
        <f>'Rekap Nilai Teori Akuntansi'!E8</f>
        <v>87.5</v>
      </c>
      <c r="H6" s="65">
        <f t="shared" ref="H6:H20" si="0">SUM(D6:G6)</f>
        <v>349.24076595447565</v>
      </c>
      <c r="I6" s="100">
        <f t="shared" ref="I6:I20" si="1">(D6*45%)+(E6*35%)+(F6*10%)+(G6*10%)</f>
        <v>86.109268084066471</v>
      </c>
      <c r="J6" s="101">
        <v>1</v>
      </c>
    </row>
    <row r="7" spans="1:10" ht="19.5" customHeight="1" x14ac:dyDescent="0.35">
      <c r="A7" s="26">
        <v>6</v>
      </c>
      <c r="B7" s="27" t="s">
        <v>101</v>
      </c>
      <c r="C7" s="58"/>
      <c r="D7" s="65">
        <v>84</v>
      </c>
      <c r="E7" s="65">
        <f>'Komputer Akuntansi'!R10</f>
        <v>81.987327188940085</v>
      </c>
      <c r="F7" s="65">
        <f>'Rekap Nilai Presentasi'!F11</f>
        <v>73</v>
      </c>
      <c r="G7" s="65">
        <f>'Rekap Nilai Teori Akuntansi'!E11</f>
        <v>67.5</v>
      </c>
      <c r="H7" s="65">
        <f t="shared" si="0"/>
        <v>306.48732718894007</v>
      </c>
      <c r="I7" s="100">
        <f t="shared" si="1"/>
        <v>80.545564516129033</v>
      </c>
      <c r="J7" s="101">
        <v>2</v>
      </c>
    </row>
    <row r="8" spans="1:10" ht="19.5" customHeight="1" x14ac:dyDescent="0.35">
      <c r="A8" s="26">
        <v>11</v>
      </c>
      <c r="B8" s="27" t="s">
        <v>105</v>
      </c>
      <c r="C8" s="58"/>
      <c r="D8" s="65">
        <v>83.5</v>
      </c>
      <c r="E8" s="65">
        <f>'Komputer Akuntansi'!R15</f>
        <v>79.40669948331238</v>
      </c>
      <c r="F8" s="65">
        <f>'Rekap Nilai Presentasi'!F16</f>
        <v>76.5</v>
      </c>
      <c r="G8" s="65">
        <f>'Rekap Nilai Teori Akuntansi'!E16</f>
        <v>67.5</v>
      </c>
      <c r="H8" s="65">
        <f t="shared" si="0"/>
        <v>306.90669948331237</v>
      </c>
      <c r="I8" s="100">
        <f t="shared" si="1"/>
        <v>79.767344819159348</v>
      </c>
      <c r="J8" s="101">
        <v>3</v>
      </c>
    </row>
    <row r="9" spans="1:10" ht="19.5" customHeight="1" x14ac:dyDescent="0.35">
      <c r="A9" s="26">
        <v>15</v>
      </c>
      <c r="B9" s="27" t="s">
        <v>109</v>
      </c>
      <c r="C9" s="58"/>
      <c r="D9" s="65">
        <v>88</v>
      </c>
      <c r="E9" s="65">
        <f>'Komputer Akuntansi'!R19</f>
        <v>61.264104175394507</v>
      </c>
      <c r="F9" s="65">
        <f>'Rekap Nilai Presentasi'!F20</f>
        <v>59</v>
      </c>
      <c r="G9" s="65">
        <f>'Rekap Nilai Teori Akuntansi'!E20</f>
        <v>70</v>
      </c>
      <c r="H9" s="65">
        <f t="shared" si="0"/>
        <v>278.26410417539449</v>
      </c>
      <c r="I9" s="100">
        <f t="shared" si="1"/>
        <v>73.942436461388084</v>
      </c>
      <c r="J9" s="101">
        <v>4</v>
      </c>
    </row>
    <row r="10" spans="1:10" ht="19.5" customHeight="1" x14ac:dyDescent="0.35">
      <c r="A10" s="72">
        <v>4</v>
      </c>
      <c r="B10" s="73" t="s">
        <v>99</v>
      </c>
      <c r="C10" s="58"/>
      <c r="D10" s="65">
        <v>80.5</v>
      </c>
      <c r="E10" s="65">
        <f>'Komputer Akuntansi'!R8</f>
        <v>68.591136014523116</v>
      </c>
      <c r="F10" s="65">
        <f>'Rekap Nilai Presentasi'!F9</f>
        <v>69</v>
      </c>
      <c r="G10" s="65">
        <f>'Rekap Nilai Teori Akuntansi'!E9</f>
        <v>67.5</v>
      </c>
      <c r="H10" s="65">
        <f t="shared" si="0"/>
        <v>285.5911360145231</v>
      </c>
      <c r="I10" s="100">
        <f t="shared" si="1"/>
        <v>73.881897605083097</v>
      </c>
      <c r="J10" s="101">
        <v>5</v>
      </c>
    </row>
    <row r="11" spans="1:10" ht="19.5" customHeight="1" x14ac:dyDescent="0.35">
      <c r="A11" s="72">
        <v>5</v>
      </c>
      <c r="B11" s="73" t="s">
        <v>100</v>
      </c>
      <c r="C11" s="58"/>
      <c r="D11" s="65">
        <v>78</v>
      </c>
      <c r="E11" s="65">
        <f>'Komputer Akuntansi'!R9</f>
        <v>72.522517804775873</v>
      </c>
      <c r="F11" s="65">
        <f>'Rekap Nilai Presentasi'!E10</f>
        <v>60</v>
      </c>
      <c r="G11" s="65">
        <f>'Rekap Nilai Teori Akuntansi'!E10</f>
        <v>55</v>
      </c>
      <c r="H11" s="65">
        <f t="shared" si="0"/>
        <v>265.52251780477587</v>
      </c>
      <c r="I11" s="100">
        <f t="shared" si="1"/>
        <v>71.982881231671556</v>
      </c>
      <c r="J11" s="101">
        <v>6</v>
      </c>
    </row>
    <row r="12" spans="1:10" ht="19.5" customHeight="1" x14ac:dyDescent="0.35">
      <c r="A12" s="26">
        <v>12</v>
      </c>
      <c r="B12" s="27" t="s">
        <v>106</v>
      </c>
      <c r="C12" s="58"/>
      <c r="D12" s="65">
        <v>72</v>
      </c>
      <c r="E12" s="65">
        <f>'Komputer Akuntansi'!R16</f>
        <v>51.129363915654245</v>
      </c>
      <c r="F12" s="65">
        <f>'Rekap Nilai Presentasi'!F17</f>
        <v>59.5</v>
      </c>
      <c r="G12" s="65">
        <f>'Rekap Nilai Teori Akuntansi'!E17</f>
        <v>50</v>
      </c>
      <c r="H12" s="65">
        <f t="shared" si="0"/>
        <v>232.62936391565424</v>
      </c>
      <c r="I12" s="65">
        <f t="shared" si="1"/>
        <v>61.245277370478988</v>
      </c>
      <c r="J12" s="101">
        <v>7</v>
      </c>
    </row>
    <row r="13" spans="1:10" ht="19.5" customHeight="1" x14ac:dyDescent="0.35">
      <c r="A13" s="26">
        <v>10</v>
      </c>
      <c r="B13" s="27" t="s">
        <v>104</v>
      </c>
      <c r="C13" s="58"/>
      <c r="D13" s="65">
        <v>74</v>
      </c>
      <c r="E13" s="65">
        <f>'Komputer Akuntansi'!R14</f>
        <v>48.192239212400501</v>
      </c>
      <c r="F13" s="65">
        <f>'Rekap Nilai Presentasi'!F15</f>
        <v>42.5</v>
      </c>
      <c r="G13" s="65">
        <f>'Rekap Nilai Teori Akuntansi'!E15</f>
        <v>52.5</v>
      </c>
      <c r="H13" s="65">
        <f t="shared" si="0"/>
        <v>217.19223921240049</v>
      </c>
      <c r="I13" s="65">
        <f t="shared" si="1"/>
        <v>59.66728372434018</v>
      </c>
      <c r="J13" s="101">
        <v>8</v>
      </c>
    </row>
    <row r="14" spans="1:10" ht="19.5" customHeight="1" x14ac:dyDescent="0.35">
      <c r="A14" s="72">
        <v>1</v>
      </c>
      <c r="B14" s="73" t="s">
        <v>96</v>
      </c>
      <c r="C14" s="58"/>
      <c r="D14" s="65">
        <v>73.5</v>
      </c>
      <c r="E14" s="65">
        <f>'Komputer Akuntansi'!R5</f>
        <v>39.248621002653266</v>
      </c>
      <c r="F14" s="65">
        <f>'Rekap Nilai Presentasi'!E6</f>
        <v>46</v>
      </c>
      <c r="G14" s="65">
        <f>'Rekap Nilai Teori Akuntansi'!E6</f>
        <v>60</v>
      </c>
      <c r="H14" s="65">
        <f t="shared" si="0"/>
        <v>218.74862100265327</v>
      </c>
      <c r="I14" s="65">
        <f t="shared" si="1"/>
        <v>57.412017350928643</v>
      </c>
      <c r="J14" s="101">
        <v>9</v>
      </c>
    </row>
    <row r="15" spans="1:10" ht="19.5" customHeight="1" x14ac:dyDescent="0.35">
      <c r="A15" s="72">
        <v>2</v>
      </c>
      <c r="B15" s="73" t="s">
        <v>97</v>
      </c>
      <c r="C15" s="58"/>
      <c r="D15" s="65">
        <v>66</v>
      </c>
      <c r="E15" s="65">
        <f>'Komputer Akuntansi'!R6</f>
        <v>43.137393520458033</v>
      </c>
      <c r="F15" s="65">
        <f>'Rekap Nilai Presentasi'!F7</f>
        <v>46</v>
      </c>
      <c r="G15" s="65">
        <f>'Rekap Nilai Teori Akuntansi'!E7</f>
        <v>52.5</v>
      </c>
      <c r="H15" s="65">
        <f t="shared" si="0"/>
        <v>207.63739352045803</v>
      </c>
      <c r="I15" s="65">
        <f t="shared" si="1"/>
        <v>54.648087732160313</v>
      </c>
      <c r="J15" s="101">
        <v>10</v>
      </c>
    </row>
    <row r="16" spans="1:10" x14ac:dyDescent="0.35">
      <c r="A16" s="26">
        <v>13</v>
      </c>
      <c r="B16" s="27" t="s">
        <v>107</v>
      </c>
      <c r="C16" s="58"/>
      <c r="D16" s="65">
        <v>70</v>
      </c>
      <c r="E16" s="65">
        <f>'Komputer Akuntansi'!R17</f>
        <v>37.406036168132943</v>
      </c>
      <c r="F16" s="65">
        <f>'Rekap Nilai Presentasi'!F18</f>
        <v>40.5</v>
      </c>
      <c r="G16" s="65">
        <f>'Rekap Nilai Teori Akuntansi'!E18</f>
        <v>55</v>
      </c>
      <c r="H16" s="65">
        <f t="shared" si="0"/>
        <v>202.90603616813294</v>
      </c>
      <c r="I16" s="65">
        <f t="shared" si="1"/>
        <v>54.142112658846528</v>
      </c>
      <c r="J16" s="101">
        <v>11</v>
      </c>
    </row>
    <row r="17" spans="1:10" x14ac:dyDescent="0.35">
      <c r="A17" s="26">
        <v>7</v>
      </c>
      <c r="B17" s="27" t="s">
        <v>102</v>
      </c>
      <c r="C17" s="58"/>
      <c r="D17" s="65">
        <v>56</v>
      </c>
      <c r="E17" s="65">
        <f>'Komputer Akuntansi'!R11</f>
        <v>49.082093981287528</v>
      </c>
      <c r="F17" s="65">
        <f>'Rekap Nilai Presentasi'!F12</f>
        <v>48.5</v>
      </c>
      <c r="G17" s="65">
        <f>'Rekap Nilai Teori Akuntansi'!E12</f>
        <v>55</v>
      </c>
      <c r="H17" s="65">
        <f t="shared" si="0"/>
        <v>208.58209398128753</v>
      </c>
      <c r="I17" s="65">
        <f t="shared" si="1"/>
        <v>52.728732893450633</v>
      </c>
      <c r="J17" s="101">
        <v>12</v>
      </c>
    </row>
    <row r="18" spans="1:10" x14ac:dyDescent="0.35">
      <c r="A18" s="26">
        <v>14</v>
      </c>
      <c r="B18" s="27" t="s">
        <v>108</v>
      </c>
      <c r="C18" s="58"/>
      <c r="D18" s="65">
        <v>61</v>
      </c>
      <c r="E18" s="65">
        <f>'Komputer Akuntansi'!R18</f>
        <v>48.537477307638596</v>
      </c>
      <c r="F18" s="65">
        <f>'Rekap Nilai Presentasi'!F19</f>
        <v>33.5</v>
      </c>
      <c r="G18" s="65">
        <f>'Rekap Nilai Teori Akuntansi'!E19</f>
        <v>47.5</v>
      </c>
      <c r="H18" s="65">
        <f t="shared" si="0"/>
        <v>190.5374773076386</v>
      </c>
      <c r="I18" s="65">
        <f t="shared" si="1"/>
        <v>52.53811705767351</v>
      </c>
      <c r="J18" s="101">
        <v>13</v>
      </c>
    </row>
    <row r="19" spans="1:10" x14ac:dyDescent="0.35">
      <c r="A19" s="26">
        <v>9</v>
      </c>
      <c r="B19" s="27" t="s">
        <v>103</v>
      </c>
      <c r="C19" s="58"/>
      <c r="D19" s="65">
        <v>58</v>
      </c>
      <c r="E19" s="65">
        <f>'Komputer Akuntansi'!R13</f>
        <v>38.988880742912997</v>
      </c>
      <c r="F19" s="65">
        <f>'Rekap Nilai Presentasi'!F14</f>
        <v>32.5</v>
      </c>
      <c r="G19" s="65">
        <f>'Rekap Nilai Teori Akuntansi'!E14</f>
        <v>45</v>
      </c>
      <c r="H19" s="65">
        <f t="shared" si="0"/>
        <v>174.48888074291301</v>
      </c>
      <c r="I19" s="65">
        <f t="shared" si="1"/>
        <v>47.496108260019554</v>
      </c>
      <c r="J19" s="101">
        <v>14</v>
      </c>
    </row>
    <row r="20" spans="1:10" x14ac:dyDescent="0.35">
      <c r="A20" s="26">
        <v>8</v>
      </c>
      <c r="B20" s="27" t="s">
        <v>110</v>
      </c>
      <c r="C20" s="58"/>
      <c r="D20" s="65">
        <v>54.5</v>
      </c>
      <c r="E20" s="65">
        <f>'Komputer Akuntansi'!R12</f>
        <v>34.170698924731184</v>
      </c>
      <c r="F20" s="65">
        <f>'Rekap Nilai Presentasi'!F13</f>
        <v>36.5</v>
      </c>
      <c r="G20" s="65">
        <f>'Rekap Nilai Teori Akuntansi'!E13</f>
        <v>20</v>
      </c>
      <c r="H20" s="65">
        <f t="shared" si="0"/>
        <v>145.1706989247312</v>
      </c>
      <c r="I20" s="65">
        <f t="shared" si="1"/>
        <v>42.134744623655912</v>
      </c>
      <c r="J20" s="101">
        <v>15</v>
      </c>
    </row>
    <row r="23" spans="1:10" x14ac:dyDescent="0.35">
      <c r="G23" s="5" t="s">
        <v>130</v>
      </c>
    </row>
    <row r="25" spans="1:10" x14ac:dyDescent="0.35">
      <c r="C25" s="5" t="s">
        <v>76</v>
      </c>
      <c r="G25" s="5" t="s">
        <v>139</v>
      </c>
    </row>
    <row r="30" spans="1:10" ht="14.5" x14ac:dyDescent="0.35">
      <c r="C30" s="5" t="s">
        <v>137</v>
      </c>
      <c r="G30" t="s">
        <v>138</v>
      </c>
    </row>
  </sheetData>
  <sortState xmlns:xlrd2="http://schemas.microsoft.com/office/spreadsheetml/2017/richdata2" ref="A6:J20">
    <sortCondition descending="1" ref="I6"/>
  </sortState>
  <pageMargins left="0.67" right="0.31496062992125984" top="0.46" bottom="0.19685039370078741" header="0.49" footer="0.31496062992125984"/>
  <pageSetup scale="8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J30"/>
  <sheetViews>
    <sheetView topLeftCell="A10" workbookViewId="0">
      <selection activeCell="C30" sqref="C30"/>
    </sheetView>
  </sheetViews>
  <sheetFormatPr defaultColWidth="9.1796875" defaultRowHeight="14" x14ac:dyDescent="0.35"/>
  <cols>
    <col min="1" max="1" width="5.7265625" style="5" customWidth="1"/>
    <col min="2" max="2" width="26.54296875" style="5" customWidth="1"/>
    <col min="3" max="3" width="22.54296875" style="5" customWidth="1"/>
    <col min="4" max="4" width="19.26953125" style="5" customWidth="1"/>
    <col min="5" max="5" width="20.7265625" style="5" customWidth="1"/>
    <col min="6" max="6" width="13.54296875" style="5" customWidth="1"/>
    <col min="7" max="7" width="12.7265625" style="5" customWidth="1"/>
    <col min="8" max="8" width="11.54296875" style="5" customWidth="1"/>
    <col min="9" max="9" width="11.7265625" style="5" customWidth="1"/>
    <col min="10" max="10" width="12.7265625" style="5" customWidth="1"/>
    <col min="11" max="16384" width="9.1796875" style="5"/>
  </cols>
  <sheetData>
    <row r="1" spans="1:10" ht="22.5" customHeight="1" x14ac:dyDescent="0.35">
      <c r="A1" s="1" t="s">
        <v>127</v>
      </c>
      <c r="B1" s="2"/>
      <c r="C1" s="2"/>
    </row>
    <row r="2" spans="1:10" ht="22.5" customHeight="1" x14ac:dyDescent="0.35">
      <c r="A2" s="1" t="s">
        <v>62</v>
      </c>
      <c r="B2" s="2"/>
      <c r="C2" s="2"/>
    </row>
    <row r="3" spans="1:10" ht="22.5" customHeight="1" x14ac:dyDescent="0.35">
      <c r="A3" s="1" t="s">
        <v>113</v>
      </c>
      <c r="B3" s="2"/>
      <c r="C3" s="2"/>
    </row>
    <row r="4" spans="1:10" ht="15.5" x14ac:dyDescent="0.35">
      <c r="A4" s="6"/>
      <c r="B4" s="4"/>
    </row>
    <row r="5" spans="1:10" ht="54" customHeight="1" x14ac:dyDescent="0.35">
      <c r="A5" s="56" t="s">
        <v>93</v>
      </c>
      <c r="B5" s="56" t="s">
        <v>1</v>
      </c>
      <c r="C5" s="56" t="s">
        <v>2</v>
      </c>
      <c r="D5" s="77" t="s">
        <v>133</v>
      </c>
      <c r="E5" s="76" t="s">
        <v>134</v>
      </c>
      <c r="F5" s="78" t="s">
        <v>135</v>
      </c>
      <c r="G5" s="76" t="s">
        <v>136</v>
      </c>
      <c r="H5" s="56" t="s">
        <v>66</v>
      </c>
      <c r="I5" s="56" t="s">
        <v>65</v>
      </c>
      <c r="J5" s="57" t="s">
        <v>92</v>
      </c>
    </row>
    <row r="6" spans="1:10" ht="19.5" customHeight="1" x14ac:dyDescent="0.35">
      <c r="A6" s="72">
        <v>1</v>
      </c>
      <c r="B6" s="73" t="s">
        <v>96</v>
      </c>
      <c r="C6" s="58"/>
      <c r="D6" s="65">
        <v>73.5</v>
      </c>
      <c r="E6" s="65">
        <f>'Komputer Akuntansi'!R5</f>
        <v>39.248621002653266</v>
      </c>
      <c r="F6" s="65">
        <f>'Rekap Nilai Presentasi'!E6</f>
        <v>46</v>
      </c>
      <c r="G6" s="65">
        <f>'Rekap Nilai Teori Akuntansi'!E6</f>
        <v>60</v>
      </c>
      <c r="H6" s="65">
        <f t="shared" ref="H6:H20" si="0">SUM(D6:G6)</f>
        <v>218.74862100265327</v>
      </c>
      <c r="I6" s="65">
        <f t="shared" ref="I6:I20" si="1">(D6*45%)+(E6*35%)+(F6*10%)+(G6*10%)</f>
        <v>57.412017350928643</v>
      </c>
      <c r="J6" s="59"/>
    </row>
    <row r="7" spans="1:10" ht="19.5" customHeight="1" x14ac:dyDescent="0.35">
      <c r="A7" s="72">
        <v>2</v>
      </c>
      <c r="B7" s="73" t="s">
        <v>97</v>
      </c>
      <c r="C7" s="58"/>
      <c r="D7" s="65">
        <v>66</v>
      </c>
      <c r="E7" s="65">
        <f>'Komputer Akuntansi'!R6</f>
        <v>43.137393520458033</v>
      </c>
      <c r="F7" s="65">
        <f>'Rekap Nilai Presentasi'!F7</f>
        <v>46</v>
      </c>
      <c r="G7" s="65">
        <f>'Rekap Nilai Teori Akuntansi'!E7</f>
        <v>52.5</v>
      </c>
      <c r="H7" s="65">
        <f t="shared" si="0"/>
        <v>207.63739352045803</v>
      </c>
      <c r="I7" s="65">
        <f t="shared" si="1"/>
        <v>54.648087732160313</v>
      </c>
      <c r="J7" s="59"/>
    </row>
    <row r="8" spans="1:10" ht="19.5" customHeight="1" x14ac:dyDescent="0.35">
      <c r="A8" s="72">
        <v>3</v>
      </c>
      <c r="B8" s="73" t="s">
        <v>98</v>
      </c>
      <c r="C8" s="58"/>
      <c r="D8" s="65">
        <v>90</v>
      </c>
      <c r="E8" s="65">
        <f>'Komputer Akuntansi'!R7</f>
        <v>78.740765954475634</v>
      </c>
      <c r="F8" s="65">
        <f>'Rekap Nilai Presentasi'!F8</f>
        <v>93</v>
      </c>
      <c r="G8" s="65">
        <f>'Rekap Nilai Teori Akuntansi'!E8</f>
        <v>87.5</v>
      </c>
      <c r="H8" s="65">
        <f t="shared" si="0"/>
        <v>349.24076595447565</v>
      </c>
      <c r="I8" s="100">
        <f t="shared" si="1"/>
        <v>86.109268084066471</v>
      </c>
      <c r="J8" s="101">
        <v>1</v>
      </c>
    </row>
    <row r="9" spans="1:10" ht="19.5" customHeight="1" x14ac:dyDescent="0.35">
      <c r="A9" s="72">
        <v>4</v>
      </c>
      <c r="B9" s="73" t="s">
        <v>99</v>
      </c>
      <c r="C9" s="58"/>
      <c r="D9" s="65">
        <v>80.5</v>
      </c>
      <c r="E9" s="65">
        <f>'Komputer Akuntansi'!R8</f>
        <v>68.591136014523116</v>
      </c>
      <c r="F9" s="65">
        <f>'Rekap Nilai Presentasi'!F9</f>
        <v>69</v>
      </c>
      <c r="G9" s="65">
        <f>'Rekap Nilai Teori Akuntansi'!E9</f>
        <v>67.5</v>
      </c>
      <c r="H9" s="65">
        <f t="shared" si="0"/>
        <v>285.5911360145231</v>
      </c>
      <c r="I9" s="100">
        <f t="shared" si="1"/>
        <v>73.881897605083097</v>
      </c>
      <c r="J9" s="101">
        <v>5</v>
      </c>
    </row>
    <row r="10" spans="1:10" ht="19.5" customHeight="1" x14ac:dyDescent="0.35">
      <c r="A10" s="72">
        <v>5</v>
      </c>
      <c r="B10" s="73" t="s">
        <v>100</v>
      </c>
      <c r="C10" s="58"/>
      <c r="D10" s="65">
        <v>78</v>
      </c>
      <c r="E10" s="65">
        <f>'Komputer Akuntansi'!R9</f>
        <v>72.522517804775873</v>
      </c>
      <c r="F10" s="65">
        <f>'Rekap Nilai Presentasi'!E10</f>
        <v>60</v>
      </c>
      <c r="G10" s="65">
        <f>'Rekap Nilai Teori Akuntansi'!E10</f>
        <v>55</v>
      </c>
      <c r="H10" s="65">
        <f t="shared" si="0"/>
        <v>265.52251780477587</v>
      </c>
      <c r="I10" s="100">
        <f t="shared" si="1"/>
        <v>71.982881231671556</v>
      </c>
      <c r="J10" s="101">
        <v>6</v>
      </c>
    </row>
    <row r="11" spans="1:10" ht="19.5" customHeight="1" x14ac:dyDescent="0.35">
      <c r="A11" s="26">
        <v>6</v>
      </c>
      <c r="B11" s="27" t="s">
        <v>101</v>
      </c>
      <c r="C11" s="58"/>
      <c r="D11" s="65">
        <v>84</v>
      </c>
      <c r="E11" s="65">
        <f>'Komputer Akuntansi'!R10</f>
        <v>81.987327188940085</v>
      </c>
      <c r="F11" s="65">
        <f>'Rekap Nilai Presentasi'!F11</f>
        <v>73</v>
      </c>
      <c r="G11" s="65">
        <f>'Rekap Nilai Teori Akuntansi'!E11</f>
        <v>67.5</v>
      </c>
      <c r="H11" s="65">
        <f t="shared" si="0"/>
        <v>306.48732718894007</v>
      </c>
      <c r="I11" s="100">
        <f t="shared" si="1"/>
        <v>80.545564516129033</v>
      </c>
      <c r="J11" s="101">
        <v>2</v>
      </c>
    </row>
    <row r="12" spans="1:10" ht="19.5" customHeight="1" x14ac:dyDescent="0.35">
      <c r="A12" s="26">
        <v>7</v>
      </c>
      <c r="B12" s="27" t="s">
        <v>102</v>
      </c>
      <c r="C12" s="58"/>
      <c r="D12" s="65">
        <v>56</v>
      </c>
      <c r="E12" s="65">
        <f>'Komputer Akuntansi'!R11</f>
        <v>49.082093981287528</v>
      </c>
      <c r="F12" s="65">
        <f>'Rekap Nilai Presentasi'!F12</f>
        <v>48.5</v>
      </c>
      <c r="G12" s="65">
        <f>'Rekap Nilai Teori Akuntansi'!E12</f>
        <v>55</v>
      </c>
      <c r="H12" s="65">
        <f t="shared" si="0"/>
        <v>208.58209398128753</v>
      </c>
      <c r="I12" s="65">
        <f t="shared" si="1"/>
        <v>52.728732893450633</v>
      </c>
      <c r="J12" s="59"/>
    </row>
    <row r="13" spans="1:10" ht="19.5" customHeight="1" x14ac:dyDescent="0.35">
      <c r="A13" s="26">
        <v>8</v>
      </c>
      <c r="B13" s="27" t="s">
        <v>110</v>
      </c>
      <c r="C13" s="58"/>
      <c r="D13" s="65">
        <v>54.5</v>
      </c>
      <c r="E13" s="65">
        <f>'Komputer Akuntansi'!R12</f>
        <v>34.170698924731184</v>
      </c>
      <c r="F13" s="65">
        <f>'Rekap Nilai Presentasi'!F13</f>
        <v>36.5</v>
      </c>
      <c r="G13" s="65">
        <f>'Rekap Nilai Teori Akuntansi'!E13</f>
        <v>20</v>
      </c>
      <c r="H13" s="65">
        <f t="shared" si="0"/>
        <v>145.1706989247312</v>
      </c>
      <c r="I13" s="65">
        <f t="shared" si="1"/>
        <v>42.134744623655912</v>
      </c>
      <c r="J13" s="59"/>
    </row>
    <row r="14" spans="1:10" ht="19.5" customHeight="1" x14ac:dyDescent="0.35">
      <c r="A14" s="26">
        <v>9</v>
      </c>
      <c r="B14" s="27" t="s">
        <v>103</v>
      </c>
      <c r="C14" s="58"/>
      <c r="D14" s="65">
        <v>58</v>
      </c>
      <c r="E14" s="65">
        <f>'Komputer Akuntansi'!R13</f>
        <v>38.988880742912997</v>
      </c>
      <c r="F14" s="65">
        <f>'Rekap Nilai Presentasi'!F14</f>
        <v>32.5</v>
      </c>
      <c r="G14" s="65">
        <f>'Rekap Nilai Teori Akuntansi'!E14</f>
        <v>45</v>
      </c>
      <c r="H14" s="65">
        <f t="shared" si="0"/>
        <v>174.48888074291301</v>
      </c>
      <c r="I14" s="65">
        <f t="shared" si="1"/>
        <v>47.496108260019554</v>
      </c>
      <c r="J14" s="59"/>
    </row>
    <row r="15" spans="1:10" ht="19.5" customHeight="1" x14ac:dyDescent="0.35">
      <c r="A15" s="26">
        <v>10</v>
      </c>
      <c r="B15" s="27" t="s">
        <v>104</v>
      </c>
      <c r="C15" s="58"/>
      <c r="D15" s="65">
        <v>74</v>
      </c>
      <c r="E15" s="65">
        <f>'Komputer Akuntansi'!R14</f>
        <v>48.192239212400501</v>
      </c>
      <c r="F15" s="65">
        <f>'Rekap Nilai Presentasi'!F15</f>
        <v>42.5</v>
      </c>
      <c r="G15" s="65">
        <f>'Rekap Nilai Teori Akuntansi'!E15</f>
        <v>52.5</v>
      </c>
      <c r="H15" s="65">
        <f t="shared" si="0"/>
        <v>217.19223921240049</v>
      </c>
      <c r="I15" s="65">
        <f t="shared" si="1"/>
        <v>59.66728372434018</v>
      </c>
      <c r="J15" s="59"/>
    </row>
    <row r="16" spans="1:10" x14ac:dyDescent="0.35">
      <c r="A16" s="26">
        <v>11</v>
      </c>
      <c r="B16" s="27" t="s">
        <v>105</v>
      </c>
      <c r="C16" s="58"/>
      <c r="D16" s="65">
        <v>83.5</v>
      </c>
      <c r="E16" s="65">
        <f>'Komputer Akuntansi'!R15</f>
        <v>79.40669948331238</v>
      </c>
      <c r="F16" s="65">
        <f>'Rekap Nilai Presentasi'!F16</f>
        <v>76.5</v>
      </c>
      <c r="G16" s="65">
        <f>'Rekap Nilai Teori Akuntansi'!E16</f>
        <v>67.5</v>
      </c>
      <c r="H16" s="65">
        <f t="shared" si="0"/>
        <v>306.90669948331237</v>
      </c>
      <c r="I16" s="100">
        <f t="shared" si="1"/>
        <v>79.767344819159348</v>
      </c>
      <c r="J16" s="101">
        <v>3</v>
      </c>
    </row>
    <row r="17" spans="1:10" x14ac:dyDescent="0.35">
      <c r="A17" s="26">
        <v>12</v>
      </c>
      <c r="B17" s="27" t="s">
        <v>106</v>
      </c>
      <c r="C17" s="58"/>
      <c r="D17" s="65">
        <v>72</v>
      </c>
      <c r="E17" s="65">
        <f>'Komputer Akuntansi'!R16</f>
        <v>51.129363915654245</v>
      </c>
      <c r="F17" s="65">
        <f>'Rekap Nilai Presentasi'!F17</f>
        <v>59.5</v>
      </c>
      <c r="G17" s="65">
        <f>'Rekap Nilai Teori Akuntansi'!E17</f>
        <v>50</v>
      </c>
      <c r="H17" s="65">
        <f t="shared" si="0"/>
        <v>232.62936391565424</v>
      </c>
      <c r="I17" s="65">
        <f t="shared" si="1"/>
        <v>61.245277370478988</v>
      </c>
      <c r="J17" s="59"/>
    </row>
    <row r="18" spans="1:10" x14ac:dyDescent="0.35">
      <c r="A18" s="26">
        <v>13</v>
      </c>
      <c r="B18" s="27" t="s">
        <v>107</v>
      </c>
      <c r="C18" s="58"/>
      <c r="D18" s="65">
        <v>70</v>
      </c>
      <c r="E18" s="65">
        <f>'Komputer Akuntansi'!R17</f>
        <v>37.406036168132943</v>
      </c>
      <c r="F18" s="65">
        <f>'Rekap Nilai Presentasi'!F18</f>
        <v>40.5</v>
      </c>
      <c r="G18" s="65">
        <f>'Rekap Nilai Teori Akuntansi'!E18</f>
        <v>55</v>
      </c>
      <c r="H18" s="65">
        <f t="shared" si="0"/>
        <v>202.90603616813294</v>
      </c>
      <c r="I18" s="65">
        <f t="shared" si="1"/>
        <v>54.142112658846528</v>
      </c>
      <c r="J18" s="59"/>
    </row>
    <row r="19" spans="1:10" x14ac:dyDescent="0.35">
      <c r="A19" s="26">
        <v>14</v>
      </c>
      <c r="B19" s="27" t="s">
        <v>108</v>
      </c>
      <c r="C19" s="58"/>
      <c r="D19" s="65">
        <v>61</v>
      </c>
      <c r="E19" s="65">
        <f>'Komputer Akuntansi'!R18</f>
        <v>48.537477307638596</v>
      </c>
      <c r="F19" s="65">
        <f>'Rekap Nilai Presentasi'!F19</f>
        <v>33.5</v>
      </c>
      <c r="G19" s="65">
        <f>'Rekap Nilai Teori Akuntansi'!E19</f>
        <v>47.5</v>
      </c>
      <c r="H19" s="65">
        <f t="shared" si="0"/>
        <v>190.5374773076386</v>
      </c>
      <c r="I19" s="65">
        <f t="shared" si="1"/>
        <v>52.53811705767351</v>
      </c>
      <c r="J19" s="59"/>
    </row>
    <row r="20" spans="1:10" x14ac:dyDescent="0.35">
      <c r="A20" s="26">
        <v>15</v>
      </c>
      <c r="B20" s="27" t="s">
        <v>109</v>
      </c>
      <c r="C20" s="58"/>
      <c r="D20" s="65">
        <v>88</v>
      </c>
      <c r="E20" s="65">
        <f>'Komputer Akuntansi'!R19</f>
        <v>61.264104175394507</v>
      </c>
      <c r="F20" s="65">
        <f>'Rekap Nilai Presentasi'!F20</f>
        <v>59</v>
      </c>
      <c r="G20" s="65">
        <f>'Rekap Nilai Teori Akuntansi'!E20</f>
        <v>70</v>
      </c>
      <c r="H20" s="65">
        <f t="shared" si="0"/>
        <v>278.26410417539449</v>
      </c>
      <c r="I20" s="100">
        <f t="shared" si="1"/>
        <v>73.942436461388084</v>
      </c>
      <c r="J20" s="101">
        <v>4</v>
      </c>
    </row>
    <row r="23" spans="1:10" x14ac:dyDescent="0.35">
      <c r="G23" s="5" t="s">
        <v>130</v>
      </c>
    </row>
    <row r="25" spans="1:10" x14ac:dyDescent="0.35">
      <c r="C25" s="5" t="s">
        <v>76</v>
      </c>
      <c r="G25" s="5" t="s">
        <v>77</v>
      </c>
    </row>
    <row r="30" spans="1:10" ht="14.5" x14ac:dyDescent="0.35">
      <c r="C30" s="5" t="s">
        <v>137</v>
      </c>
      <c r="G30" t="s">
        <v>129</v>
      </c>
    </row>
  </sheetData>
  <pageMargins left="0.67" right="0.31496062992125984" top="0.46" bottom="0.19685039370078741" header="0.49" footer="0.31496062992125984"/>
  <pageSetup scale="8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23"/>
  <sheetViews>
    <sheetView workbookViewId="0"/>
  </sheetViews>
  <sheetFormatPr defaultRowHeight="14.5" x14ac:dyDescent="0.35"/>
  <cols>
    <col min="1" max="1" width="8.81640625" customWidth="1"/>
    <col min="2" max="2" width="24" customWidth="1"/>
    <col min="3" max="3" width="30.453125" customWidth="1"/>
    <col min="4" max="4" width="13.7265625" customWidth="1"/>
  </cols>
  <sheetData>
    <row r="1" spans="1:4" x14ac:dyDescent="0.35">
      <c r="A1" s="35" t="s">
        <v>67</v>
      </c>
    </row>
    <row r="2" spans="1:4" x14ac:dyDescent="0.35">
      <c r="A2" s="35" t="s">
        <v>112</v>
      </c>
    </row>
    <row r="3" spans="1:4" x14ac:dyDescent="0.35">
      <c r="A3" s="35" t="s">
        <v>62</v>
      </c>
    </row>
    <row r="4" spans="1:4" x14ac:dyDescent="0.35">
      <c r="A4" s="35" t="s">
        <v>113</v>
      </c>
    </row>
    <row r="6" spans="1:4" ht="22.5" customHeight="1" x14ac:dyDescent="0.35">
      <c r="A6" s="35" t="s">
        <v>71</v>
      </c>
      <c r="B6" t="s">
        <v>126</v>
      </c>
    </row>
    <row r="7" spans="1:4" ht="22.5" customHeight="1" x14ac:dyDescent="0.35">
      <c r="A7" s="35" t="s">
        <v>72</v>
      </c>
      <c r="B7" t="s">
        <v>126</v>
      </c>
    </row>
    <row r="9" spans="1:4" s="38" customFormat="1" ht="21" customHeight="1" x14ac:dyDescent="0.35">
      <c r="A9" s="39" t="s">
        <v>68</v>
      </c>
      <c r="B9" s="39" t="s">
        <v>69</v>
      </c>
      <c r="C9" s="39" t="s">
        <v>116</v>
      </c>
      <c r="D9" s="39" t="s">
        <v>70</v>
      </c>
    </row>
    <row r="10" spans="1:4" s="38" customFormat="1" ht="33" customHeight="1" x14ac:dyDescent="0.35">
      <c r="A10" s="36">
        <v>1</v>
      </c>
      <c r="B10" s="37" t="s">
        <v>115</v>
      </c>
      <c r="C10" s="74" t="s">
        <v>121</v>
      </c>
      <c r="D10" s="36"/>
    </row>
    <row r="11" spans="1:4" s="38" customFormat="1" ht="33" customHeight="1" x14ac:dyDescent="0.35">
      <c r="A11" s="36">
        <v>2</v>
      </c>
      <c r="B11" s="37" t="s">
        <v>117</v>
      </c>
      <c r="C11" s="74" t="s">
        <v>122</v>
      </c>
      <c r="D11" s="36"/>
    </row>
    <row r="12" spans="1:4" s="38" customFormat="1" ht="33" customHeight="1" x14ac:dyDescent="0.35">
      <c r="A12" s="36">
        <v>3</v>
      </c>
      <c r="B12" s="37" t="s">
        <v>118</v>
      </c>
      <c r="C12" s="74" t="s">
        <v>123</v>
      </c>
      <c r="D12" s="36"/>
    </row>
    <row r="13" spans="1:4" s="38" customFormat="1" ht="33" customHeight="1" x14ac:dyDescent="0.35">
      <c r="A13" s="36">
        <v>4</v>
      </c>
      <c r="B13" s="37" t="s">
        <v>119</v>
      </c>
      <c r="C13" s="74" t="s">
        <v>124</v>
      </c>
      <c r="D13" s="36"/>
    </row>
    <row r="14" spans="1:4" s="38" customFormat="1" ht="33" customHeight="1" x14ac:dyDescent="0.35">
      <c r="A14" s="36">
        <v>5</v>
      </c>
      <c r="B14" s="37" t="s">
        <v>120</v>
      </c>
      <c r="C14" s="74" t="s">
        <v>125</v>
      </c>
      <c r="D14" s="36"/>
    </row>
    <row r="15" spans="1:4" s="41" customFormat="1" ht="21" customHeight="1" x14ac:dyDescent="0.35">
      <c r="A15" s="40"/>
      <c r="B15" s="39" t="s">
        <v>73</v>
      </c>
      <c r="C15" s="39">
        <v>100</v>
      </c>
      <c r="D15" s="39"/>
    </row>
    <row r="18" spans="2:3" x14ac:dyDescent="0.35">
      <c r="C18" t="s">
        <v>114</v>
      </c>
    </row>
    <row r="19" spans="2:3" x14ac:dyDescent="0.35">
      <c r="B19" t="s">
        <v>74</v>
      </c>
      <c r="C19" t="s">
        <v>74</v>
      </c>
    </row>
    <row r="23" spans="2:3" x14ac:dyDescent="0.35">
      <c r="B23" s="35"/>
      <c r="C23" s="35"/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J30"/>
  <sheetViews>
    <sheetView topLeftCell="A5" workbookViewId="0">
      <selection activeCell="F21" sqref="F21"/>
    </sheetView>
  </sheetViews>
  <sheetFormatPr defaultColWidth="9.1796875" defaultRowHeight="14" x14ac:dyDescent="0.35"/>
  <cols>
    <col min="1" max="1" width="5.7265625" style="5" customWidth="1"/>
    <col min="2" max="2" width="26.54296875" style="5" customWidth="1"/>
    <col min="3" max="3" width="22.54296875" style="5" customWidth="1"/>
    <col min="4" max="4" width="19.26953125" style="5" customWidth="1"/>
    <col min="5" max="5" width="20.7265625" style="5" customWidth="1"/>
    <col min="6" max="6" width="13.54296875" style="5" customWidth="1"/>
    <col min="7" max="7" width="12.7265625" style="5" customWidth="1"/>
    <col min="8" max="8" width="11.54296875" style="5" customWidth="1"/>
    <col min="9" max="9" width="11.7265625" style="5" customWidth="1"/>
    <col min="10" max="10" width="12.7265625" style="5" customWidth="1"/>
    <col min="11" max="16384" width="9.1796875" style="5"/>
  </cols>
  <sheetData>
    <row r="1" spans="1:10" ht="22.5" customHeight="1" x14ac:dyDescent="0.35">
      <c r="A1" s="1" t="s">
        <v>127</v>
      </c>
      <c r="B1" s="2"/>
      <c r="C1" s="2"/>
    </row>
    <row r="2" spans="1:10" ht="22.5" customHeight="1" x14ac:dyDescent="0.35">
      <c r="A2" s="1" t="s">
        <v>62</v>
      </c>
      <c r="B2" s="2"/>
      <c r="C2" s="2"/>
    </row>
    <row r="3" spans="1:10" ht="22.5" customHeight="1" x14ac:dyDescent="0.35">
      <c r="A3" s="1" t="s">
        <v>113</v>
      </c>
      <c r="B3" s="2"/>
      <c r="C3" s="2"/>
    </row>
    <row r="4" spans="1:10" ht="15.5" x14ac:dyDescent="0.35">
      <c r="A4" s="6"/>
      <c r="B4" s="4"/>
    </row>
    <row r="5" spans="1:10" ht="54" customHeight="1" x14ac:dyDescent="0.35">
      <c r="A5" s="56" t="s">
        <v>93</v>
      </c>
      <c r="B5" s="56" t="s">
        <v>1</v>
      </c>
      <c r="C5" s="56" t="s">
        <v>2</v>
      </c>
      <c r="D5" s="77" t="s">
        <v>133</v>
      </c>
      <c r="E5" s="76" t="s">
        <v>134</v>
      </c>
      <c r="F5" s="78" t="s">
        <v>135</v>
      </c>
      <c r="G5" s="76" t="s">
        <v>136</v>
      </c>
      <c r="H5" s="56" t="s">
        <v>66</v>
      </c>
      <c r="I5" s="56" t="s">
        <v>65</v>
      </c>
      <c r="J5" s="57" t="s">
        <v>92</v>
      </c>
    </row>
    <row r="6" spans="1:10" ht="19.5" customHeight="1" x14ac:dyDescent="0.35">
      <c r="A6" s="72">
        <v>1</v>
      </c>
      <c r="B6" s="73" t="s">
        <v>96</v>
      </c>
      <c r="C6" s="58"/>
      <c r="D6" s="65">
        <v>73.5</v>
      </c>
      <c r="E6" s="65">
        <f>'Komputer Akuntansi'!R5</f>
        <v>39.248621002653266</v>
      </c>
      <c r="F6" s="65">
        <f>'Rekap Nilai Presentasi'!E6</f>
        <v>46</v>
      </c>
      <c r="G6" s="65">
        <f>'Rekap Nilai Teori Akuntansi'!E6</f>
        <v>60</v>
      </c>
      <c r="H6" s="65">
        <f t="shared" ref="H6:H20" si="0">SUM(D6:G6)</f>
        <v>218.74862100265327</v>
      </c>
      <c r="I6" s="65">
        <f>(D6*45%)+(E6*35%)+(F6*10%)+(G6*10%)</f>
        <v>57.412017350928643</v>
      </c>
      <c r="J6" s="59"/>
    </row>
    <row r="7" spans="1:10" ht="19.5" customHeight="1" x14ac:dyDescent="0.35">
      <c r="A7" s="72">
        <v>2</v>
      </c>
      <c r="B7" s="73" t="s">
        <v>97</v>
      </c>
      <c r="C7" s="58"/>
      <c r="D7" s="65">
        <v>66</v>
      </c>
      <c r="E7" s="65">
        <f>'Komputer Akuntansi'!R6</f>
        <v>43.137393520458033</v>
      </c>
      <c r="F7" s="65">
        <f>'Rekap Nilai Presentasi'!F7</f>
        <v>46</v>
      </c>
      <c r="G7" s="65">
        <f>'Rekap Nilai Teori Akuntansi'!E7</f>
        <v>52.5</v>
      </c>
      <c r="H7" s="65">
        <f t="shared" si="0"/>
        <v>207.63739352045803</v>
      </c>
      <c r="I7" s="65">
        <f t="shared" ref="I7:I20" si="1">(D7*45%)+(E7*35%)+(F7*10%)+(G7*10%)</f>
        <v>54.648087732160313</v>
      </c>
      <c r="J7" s="59"/>
    </row>
    <row r="8" spans="1:10" ht="19.5" customHeight="1" x14ac:dyDescent="0.35">
      <c r="A8" s="72">
        <v>3</v>
      </c>
      <c r="B8" s="73" t="s">
        <v>98</v>
      </c>
      <c r="C8" s="58"/>
      <c r="D8" s="65">
        <v>90</v>
      </c>
      <c r="E8" s="65">
        <f>'Komputer Akuntansi'!R7</f>
        <v>78.740765954475634</v>
      </c>
      <c r="F8" s="65">
        <f>'Rekap Nilai Presentasi'!F8</f>
        <v>93</v>
      </c>
      <c r="G8" s="65">
        <f>'Rekap Nilai Teori Akuntansi'!E8</f>
        <v>87.5</v>
      </c>
      <c r="H8" s="65">
        <f t="shared" si="0"/>
        <v>349.24076595447565</v>
      </c>
      <c r="I8" s="65">
        <f t="shared" si="1"/>
        <v>86.109268084066471</v>
      </c>
      <c r="J8" s="59"/>
    </row>
    <row r="9" spans="1:10" ht="19.5" customHeight="1" x14ac:dyDescent="0.35">
      <c r="A9" s="72">
        <v>4</v>
      </c>
      <c r="B9" s="73" t="s">
        <v>99</v>
      </c>
      <c r="C9" s="58"/>
      <c r="D9" s="65">
        <v>80.5</v>
      </c>
      <c r="E9" s="65">
        <f>'Komputer Akuntansi'!R8</f>
        <v>68.591136014523116</v>
      </c>
      <c r="F9" s="65">
        <f>'Rekap Nilai Presentasi'!F9</f>
        <v>69</v>
      </c>
      <c r="G9" s="65">
        <f>'Rekap Nilai Teori Akuntansi'!E9</f>
        <v>67.5</v>
      </c>
      <c r="H9" s="65">
        <f t="shared" si="0"/>
        <v>285.5911360145231</v>
      </c>
      <c r="I9" s="65">
        <f t="shared" si="1"/>
        <v>73.881897605083097</v>
      </c>
      <c r="J9" s="59"/>
    </row>
    <row r="10" spans="1:10" ht="19.5" customHeight="1" x14ac:dyDescent="0.35">
      <c r="A10" s="72">
        <v>5</v>
      </c>
      <c r="B10" s="73" t="s">
        <v>100</v>
      </c>
      <c r="C10" s="58"/>
      <c r="D10" s="65">
        <v>78</v>
      </c>
      <c r="E10" s="65">
        <f>'Komputer Akuntansi'!R9</f>
        <v>72.522517804775873</v>
      </c>
      <c r="F10" s="65">
        <f>'Rekap Nilai Presentasi'!E10</f>
        <v>60</v>
      </c>
      <c r="G10" s="65">
        <f>'Rekap Nilai Teori Akuntansi'!E10</f>
        <v>55</v>
      </c>
      <c r="H10" s="65">
        <f t="shared" si="0"/>
        <v>265.52251780477587</v>
      </c>
      <c r="I10" s="65">
        <f t="shared" si="1"/>
        <v>71.982881231671556</v>
      </c>
      <c r="J10" s="59"/>
    </row>
    <row r="11" spans="1:10" ht="19.5" customHeight="1" x14ac:dyDescent="0.35">
      <c r="A11" s="26">
        <v>6</v>
      </c>
      <c r="B11" s="27" t="s">
        <v>101</v>
      </c>
      <c r="C11" s="58"/>
      <c r="D11" s="65">
        <v>84</v>
      </c>
      <c r="E11" s="65">
        <f>'Komputer Akuntansi'!R10</f>
        <v>81.987327188940085</v>
      </c>
      <c r="F11" s="65">
        <f>'Rekap Nilai Presentasi'!F11</f>
        <v>73</v>
      </c>
      <c r="G11" s="65">
        <f>'Rekap Nilai Teori Akuntansi'!E11</f>
        <v>67.5</v>
      </c>
      <c r="H11" s="65">
        <f t="shared" si="0"/>
        <v>306.48732718894007</v>
      </c>
      <c r="I11" s="65">
        <f t="shared" si="1"/>
        <v>80.545564516129033</v>
      </c>
      <c r="J11" s="59"/>
    </row>
    <row r="12" spans="1:10" ht="19.5" customHeight="1" x14ac:dyDescent="0.35">
      <c r="A12" s="26">
        <v>7</v>
      </c>
      <c r="B12" s="27" t="s">
        <v>102</v>
      </c>
      <c r="C12" s="58"/>
      <c r="D12" s="65">
        <v>56</v>
      </c>
      <c r="E12" s="65">
        <f>'Komputer Akuntansi'!R11</f>
        <v>49.082093981287528</v>
      </c>
      <c r="F12" s="65">
        <f>'Rekap Nilai Presentasi'!F12</f>
        <v>48.5</v>
      </c>
      <c r="G12" s="65">
        <f>'Rekap Nilai Teori Akuntansi'!E12</f>
        <v>55</v>
      </c>
      <c r="H12" s="65">
        <f t="shared" si="0"/>
        <v>208.58209398128753</v>
      </c>
      <c r="I12" s="65">
        <f t="shared" si="1"/>
        <v>52.728732893450633</v>
      </c>
      <c r="J12" s="59"/>
    </row>
    <row r="13" spans="1:10" ht="19.5" customHeight="1" x14ac:dyDescent="0.35">
      <c r="A13" s="26">
        <v>8</v>
      </c>
      <c r="B13" s="27" t="s">
        <v>110</v>
      </c>
      <c r="C13" s="58"/>
      <c r="D13" s="65">
        <v>54.5</v>
      </c>
      <c r="E13" s="65">
        <f>'Komputer Akuntansi'!R12</f>
        <v>34.170698924731184</v>
      </c>
      <c r="F13" s="65">
        <f>'Rekap Nilai Presentasi'!F13</f>
        <v>36.5</v>
      </c>
      <c r="G13" s="65">
        <f>'Rekap Nilai Teori Akuntansi'!E13</f>
        <v>20</v>
      </c>
      <c r="H13" s="65">
        <f t="shared" si="0"/>
        <v>145.1706989247312</v>
      </c>
      <c r="I13" s="65">
        <f t="shared" si="1"/>
        <v>42.134744623655912</v>
      </c>
      <c r="J13" s="59"/>
    </row>
    <row r="14" spans="1:10" ht="19.5" customHeight="1" x14ac:dyDescent="0.35">
      <c r="A14" s="26">
        <v>9</v>
      </c>
      <c r="B14" s="27" t="s">
        <v>103</v>
      </c>
      <c r="C14" s="58"/>
      <c r="D14" s="65">
        <v>58</v>
      </c>
      <c r="E14" s="65">
        <f>'Komputer Akuntansi'!R13</f>
        <v>38.988880742912997</v>
      </c>
      <c r="F14" s="65">
        <f>'Rekap Nilai Presentasi'!F14</f>
        <v>32.5</v>
      </c>
      <c r="G14" s="65">
        <f>'Rekap Nilai Teori Akuntansi'!E14</f>
        <v>45</v>
      </c>
      <c r="H14" s="65">
        <f t="shared" si="0"/>
        <v>174.48888074291301</v>
      </c>
      <c r="I14" s="65">
        <f t="shared" si="1"/>
        <v>47.496108260019554</v>
      </c>
      <c r="J14" s="59"/>
    </row>
    <row r="15" spans="1:10" ht="19.5" customHeight="1" x14ac:dyDescent="0.35">
      <c r="A15" s="26">
        <v>10</v>
      </c>
      <c r="B15" s="27" t="s">
        <v>104</v>
      </c>
      <c r="C15" s="58"/>
      <c r="D15" s="65">
        <v>74</v>
      </c>
      <c r="E15" s="65">
        <f>'Komputer Akuntansi'!R14</f>
        <v>48.192239212400501</v>
      </c>
      <c r="F15" s="65">
        <f>'Rekap Nilai Presentasi'!F15</f>
        <v>42.5</v>
      </c>
      <c r="G15" s="65">
        <f>'Rekap Nilai Teori Akuntansi'!E15</f>
        <v>52.5</v>
      </c>
      <c r="H15" s="65">
        <f t="shared" si="0"/>
        <v>217.19223921240049</v>
      </c>
      <c r="I15" s="65">
        <f t="shared" si="1"/>
        <v>59.66728372434018</v>
      </c>
      <c r="J15" s="59"/>
    </row>
    <row r="16" spans="1:10" x14ac:dyDescent="0.35">
      <c r="A16" s="26">
        <v>11</v>
      </c>
      <c r="B16" s="27" t="s">
        <v>105</v>
      </c>
      <c r="C16" s="58"/>
      <c r="D16" s="65">
        <v>83.5</v>
      </c>
      <c r="E16" s="65">
        <f>'Komputer Akuntansi'!R15</f>
        <v>79.40669948331238</v>
      </c>
      <c r="F16" s="65">
        <f>'Rekap Nilai Presentasi'!F16</f>
        <v>76.5</v>
      </c>
      <c r="G16" s="65">
        <f>'Rekap Nilai Teori Akuntansi'!E16</f>
        <v>67.5</v>
      </c>
      <c r="H16" s="65">
        <f t="shared" si="0"/>
        <v>306.90669948331237</v>
      </c>
      <c r="I16" s="65">
        <f t="shared" si="1"/>
        <v>79.767344819159348</v>
      </c>
      <c r="J16" s="59"/>
    </row>
    <row r="17" spans="1:10" x14ac:dyDescent="0.35">
      <c r="A17" s="26">
        <v>12</v>
      </c>
      <c r="B17" s="27" t="s">
        <v>106</v>
      </c>
      <c r="C17" s="58"/>
      <c r="D17" s="65">
        <v>72</v>
      </c>
      <c r="E17" s="65">
        <f>'Komputer Akuntansi'!R16</f>
        <v>51.129363915654245</v>
      </c>
      <c r="F17" s="65">
        <f>'Rekap Nilai Presentasi'!F17</f>
        <v>59.5</v>
      </c>
      <c r="G17" s="65">
        <f>'Rekap Nilai Teori Akuntansi'!E17</f>
        <v>50</v>
      </c>
      <c r="H17" s="65">
        <f t="shared" si="0"/>
        <v>232.62936391565424</v>
      </c>
      <c r="I17" s="65">
        <f t="shared" si="1"/>
        <v>61.245277370478988</v>
      </c>
      <c r="J17" s="59"/>
    </row>
    <row r="18" spans="1:10" x14ac:dyDescent="0.35">
      <c r="A18" s="26">
        <v>13</v>
      </c>
      <c r="B18" s="27" t="s">
        <v>107</v>
      </c>
      <c r="C18" s="58"/>
      <c r="D18" s="65">
        <v>70</v>
      </c>
      <c r="E18" s="65">
        <f>'Komputer Akuntansi'!R17</f>
        <v>37.406036168132943</v>
      </c>
      <c r="F18" s="65">
        <f>'Rekap Nilai Presentasi'!F18</f>
        <v>40.5</v>
      </c>
      <c r="G18" s="65">
        <f>'Rekap Nilai Teori Akuntansi'!E18</f>
        <v>55</v>
      </c>
      <c r="H18" s="65">
        <f t="shared" si="0"/>
        <v>202.90603616813294</v>
      </c>
      <c r="I18" s="65">
        <f t="shared" si="1"/>
        <v>54.142112658846528</v>
      </c>
      <c r="J18" s="59"/>
    </row>
    <row r="19" spans="1:10" x14ac:dyDescent="0.35">
      <c r="A19" s="26">
        <v>14</v>
      </c>
      <c r="B19" s="27" t="s">
        <v>108</v>
      </c>
      <c r="C19" s="58"/>
      <c r="D19" s="65">
        <v>61</v>
      </c>
      <c r="E19" s="65">
        <f>'Komputer Akuntansi'!R18</f>
        <v>48.537477307638596</v>
      </c>
      <c r="F19" s="65">
        <f>'Rekap Nilai Presentasi'!F19</f>
        <v>33.5</v>
      </c>
      <c r="G19" s="65">
        <f>'Rekap Nilai Teori Akuntansi'!E19</f>
        <v>47.5</v>
      </c>
      <c r="H19" s="65">
        <f t="shared" si="0"/>
        <v>190.5374773076386</v>
      </c>
      <c r="I19" s="65">
        <f t="shared" si="1"/>
        <v>52.53811705767351</v>
      </c>
      <c r="J19" s="59"/>
    </row>
    <row r="20" spans="1:10" x14ac:dyDescent="0.35">
      <c r="A20" s="26">
        <v>15</v>
      </c>
      <c r="B20" s="27" t="s">
        <v>109</v>
      </c>
      <c r="C20" s="58"/>
      <c r="D20" s="65">
        <v>88</v>
      </c>
      <c r="E20" s="65">
        <f>'Komputer Akuntansi'!R19</f>
        <v>61.264104175394507</v>
      </c>
      <c r="F20" s="65">
        <f>'Rekap Nilai Presentasi'!F20</f>
        <v>59</v>
      </c>
      <c r="G20" s="65">
        <f>'Rekap Nilai Teori Akuntansi'!E20</f>
        <v>70</v>
      </c>
      <c r="H20" s="65">
        <f t="shared" si="0"/>
        <v>278.26410417539449</v>
      </c>
      <c r="I20" s="65">
        <f t="shared" si="1"/>
        <v>73.942436461388084</v>
      </c>
      <c r="J20" s="59"/>
    </row>
    <row r="23" spans="1:10" x14ac:dyDescent="0.35">
      <c r="G23" s="5" t="s">
        <v>130</v>
      </c>
    </row>
    <row r="25" spans="1:10" x14ac:dyDescent="0.35">
      <c r="C25" s="5" t="s">
        <v>76</v>
      </c>
      <c r="G25" s="5" t="s">
        <v>77</v>
      </c>
    </row>
    <row r="30" spans="1:10" ht="14.5" x14ac:dyDescent="0.35">
      <c r="C30" s="5" t="s">
        <v>137</v>
      </c>
      <c r="G30" t="s">
        <v>129</v>
      </c>
    </row>
  </sheetData>
  <sortState xmlns:xlrd2="http://schemas.microsoft.com/office/spreadsheetml/2017/richdata2" ref="A6:J15">
    <sortCondition descending="1" ref="I6"/>
  </sortState>
  <pageMargins left="0.67" right="0.31496062992125984" top="0.46" bottom="0.19685039370078741" header="0.49" footer="0.31496062992125984"/>
  <pageSetup scale="85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G27"/>
  <sheetViews>
    <sheetView topLeftCell="A5" workbookViewId="0">
      <selection activeCell="F24" sqref="F24"/>
    </sheetView>
  </sheetViews>
  <sheetFormatPr defaultRowHeight="14.5" x14ac:dyDescent="0.35"/>
  <cols>
    <col min="1" max="1" width="4" customWidth="1"/>
    <col min="2" max="2" width="35.26953125" bestFit="1" customWidth="1"/>
    <col min="3" max="3" width="28.453125" customWidth="1"/>
    <col min="4" max="4" width="28.1796875" customWidth="1"/>
    <col min="5" max="5" width="13.1796875" bestFit="1" customWidth="1"/>
  </cols>
  <sheetData>
    <row r="1" spans="1:7" ht="18" x14ac:dyDescent="0.35">
      <c r="A1" s="1" t="s">
        <v>128</v>
      </c>
    </row>
    <row r="2" spans="1:7" ht="18" x14ac:dyDescent="0.35">
      <c r="A2" s="1" t="s">
        <v>62</v>
      </c>
    </row>
    <row r="3" spans="1:7" ht="18" x14ac:dyDescent="0.35">
      <c r="A3" s="1" t="s">
        <v>113</v>
      </c>
    </row>
    <row r="5" spans="1:7" ht="15" customHeight="1" x14ac:dyDescent="0.35">
      <c r="A5" s="48" t="s">
        <v>0</v>
      </c>
      <c r="B5" s="49" t="s">
        <v>1</v>
      </c>
      <c r="C5" s="49" t="s">
        <v>2</v>
      </c>
      <c r="D5" s="50" t="s">
        <v>131</v>
      </c>
      <c r="E5" s="50" t="s">
        <v>132</v>
      </c>
    </row>
    <row r="6" spans="1:7" x14ac:dyDescent="0.35">
      <c r="A6" s="72">
        <v>1</v>
      </c>
      <c r="B6" s="73" t="s">
        <v>96</v>
      </c>
      <c r="C6" s="47"/>
      <c r="D6" s="53">
        <v>24</v>
      </c>
      <c r="E6" s="53">
        <f>D6*2.5</f>
        <v>60</v>
      </c>
      <c r="G6" s="52"/>
    </row>
    <row r="7" spans="1:7" x14ac:dyDescent="0.35">
      <c r="A7" s="72">
        <v>2</v>
      </c>
      <c r="B7" s="73" t="s">
        <v>97</v>
      </c>
      <c r="C7" s="47"/>
      <c r="D7" s="53">
        <v>21</v>
      </c>
      <c r="E7" s="53">
        <f t="shared" ref="E7:E20" si="0">D7*2.5</f>
        <v>52.5</v>
      </c>
      <c r="G7" s="52"/>
    </row>
    <row r="8" spans="1:7" x14ac:dyDescent="0.35">
      <c r="A8" s="72">
        <v>3</v>
      </c>
      <c r="B8" s="73" t="s">
        <v>98</v>
      </c>
      <c r="C8" s="47"/>
      <c r="D8" s="53">
        <v>35</v>
      </c>
      <c r="E8" s="53">
        <f t="shared" si="0"/>
        <v>87.5</v>
      </c>
      <c r="G8" s="52"/>
    </row>
    <row r="9" spans="1:7" x14ac:dyDescent="0.35">
      <c r="A9" s="72">
        <v>4</v>
      </c>
      <c r="B9" s="73" t="s">
        <v>99</v>
      </c>
      <c r="C9" s="47"/>
      <c r="D9" s="53">
        <v>27</v>
      </c>
      <c r="E9" s="53">
        <f t="shared" si="0"/>
        <v>67.5</v>
      </c>
      <c r="G9" s="52"/>
    </row>
    <row r="10" spans="1:7" x14ac:dyDescent="0.35">
      <c r="A10" s="72">
        <v>5</v>
      </c>
      <c r="B10" s="73" t="s">
        <v>100</v>
      </c>
      <c r="C10" s="47"/>
      <c r="D10" s="53">
        <v>22</v>
      </c>
      <c r="E10" s="53">
        <f t="shared" si="0"/>
        <v>55</v>
      </c>
      <c r="G10" s="52"/>
    </row>
    <row r="11" spans="1:7" x14ac:dyDescent="0.35">
      <c r="A11" s="26">
        <v>6</v>
      </c>
      <c r="B11" s="27" t="s">
        <v>101</v>
      </c>
      <c r="C11" s="47"/>
      <c r="D11" s="53">
        <v>27</v>
      </c>
      <c r="E11" s="53">
        <f t="shared" si="0"/>
        <v>67.5</v>
      </c>
      <c r="G11" s="52"/>
    </row>
    <row r="12" spans="1:7" x14ac:dyDescent="0.35">
      <c r="A12" s="26">
        <v>7</v>
      </c>
      <c r="B12" s="27" t="s">
        <v>102</v>
      </c>
      <c r="C12" s="47"/>
      <c r="D12" s="53">
        <v>22</v>
      </c>
      <c r="E12" s="53">
        <f t="shared" si="0"/>
        <v>55</v>
      </c>
      <c r="G12" s="52"/>
    </row>
    <row r="13" spans="1:7" x14ac:dyDescent="0.35">
      <c r="A13" s="26">
        <v>8</v>
      </c>
      <c r="B13" s="27" t="s">
        <v>110</v>
      </c>
      <c r="C13" s="47"/>
      <c r="D13" s="53">
        <v>8</v>
      </c>
      <c r="E13" s="53">
        <f t="shared" si="0"/>
        <v>20</v>
      </c>
      <c r="G13" s="52"/>
    </row>
    <row r="14" spans="1:7" x14ac:dyDescent="0.35">
      <c r="A14" s="26">
        <v>9</v>
      </c>
      <c r="B14" s="27" t="s">
        <v>103</v>
      </c>
      <c r="C14" s="47"/>
      <c r="D14" s="53">
        <v>18</v>
      </c>
      <c r="E14" s="53">
        <f t="shared" si="0"/>
        <v>45</v>
      </c>
      <c r="G14" s="52"/>
    </row>
    <row r="15" spans="1:7" x14ac:dyDescent="0.35">
      <c r="A15" s="26">
        <v>10</v>
      </c>
      <c r="B15" s="27" t="s">
        <v>104</v>
      </c>
      <c r="C15" s="47"/>
      <c r="D15" s="53">
        <v>21</v>
      </c>
      <c r="E15" s="53">
        <f t="shared" si="0"/>
        <v>52.5</v>
      </c>
      <c r="G15" s="52"/>
    </row>
    <row r="16" spans="1:7" x14ac:dyDescent="0.35">
      <c r="A16" s="26">
        <v>11</v>
      </c>
      <c r="B16" s="27" t="s">
        <v>105</v>
      </c>
      <c r="C16" s="47"/>
      <c r="D16" s="53">
        <v>27</v>
      </c>
      <c r="E16" s="53">
        <f t="shared" si="0"/>
        <v>67.5</v>
      </c>
      <c r="G16" s="52"/>
    </row>
    <row r="17" spans="1:7" x14ac:dyDescent="0.35">
      <c r="A17" s="26">
        <v>12</v>
      </c>
      <c r="B17" s="27" t="s">
        <v>106</v>
      </c>
      <c r="C17" s="47"/>
      <c r="D17" s="53">
        <v>20</v>
      </c>
      <c r="E17" s="53">
        <f t="shared" si="0"/>
        <v>50</v>
      </c>
      <c r="G17" s="52"/>
    </row>
    <row r="18" spans="1:7" x14ac:dyDescent="0.35">
      <c r="A18" s="26">
        <v>13</v>
      </c>
      <c r="B18" s="27" t="s">
        <v>107</v>
      </c>
      <c r="C18" s="47"/>
      <c r="D18" s="53">
        <v>22</v>
      </c>
      <c r="E18" s="53">
        <f t="shared" si="0"/>
        <v>55</v>
      </c>
      <c r="G18" s="52"/>
    </row>
    <row r="19" spans="1:7" x14ac:dyDescent="0.35">
      <c r="A19" s="26">
        <v>14</v>
      </c>
      <c r="B19" s="27" t="s">
        <v>108</v>
      </c>
      <c r="C19" s="47"/>
      <c r="D19" s="53">
        <v>19</v>
      </c>
      <c r="E19" s="53">
        <f t="shared" si="0"/>
        <v>47.5</v>
      </c>
      <c r="G19" s="52"/>
    </row>
    <row r="20" spans="1:7" x14ac:dyDescent="0.35">
      <c r="A20" s="26">
        <v>15</v>
      </c>
      <c r="B20" s="27" t="s">
        <v>109</v>
      </c>
      <c r="C20" s="47"/>
      <c r="D20" s="53">
        <v>28</v>
      </c>
      <c r="E20" s="53">
        <f t="shared" si="0"/>
        <v>70</v>
      </c>
      <c r="G20" s="52"/>
    </row>
    <row r="22" spans="1:7" x14ac:dyDescent="0.35">
      <c r="D22" t="s">
        <v>114</v>
      </c>
    </row>
    <row r="23" spans="1:7" x14ac:dyDescent="0.35">
      <c r="A23" t="s">
        <v>76</v>
      </c>
      <c r="C23" s="51"/>
      <c r="D23" t="s">
        <v>77</v>
      </c>
    </row>
    <row r="27" spans="1:7" x14ac:dyDescent="0.35">
      <c r="D27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27"/>
  <sheetViews>
    <sheetView topLeftCell="A18" workbookViewId="0">
      <selection activeCell="B40" sqref="B40"/>
    </sheetView>
  </sheetViews>
  <sheetFormatPr defaultRowHeight="14.5" x14ac:dyDescent="0.35"/>
  <cols>
    <col min="1" max="1" width="4" customWidth="1"/>
    <col min="2" max="2" width="35.26953125" bestFit="1" customWidth="1"/>
    <col min="3" max="3" width="52.26953125" bestFit="1" customWidth="1"/>
    <col min="4" max="6" width="10.54296875" customWidth="1"/>
  </cols>
  <sheetData>
    <row r="1" spans="1:8" ht="18" x14ac:dyDescent="0.35">
      <c r="A1" s="1" t="s">
        <v>128</v>
      </c>
    </row>
    <row r="2" spans="1:8" ht="18" x14ac:dyDescent="0.35">
      <c r="A2" s="1" t="s">
        <v>62</v>
      </c>
    </row>
    <row r="3" spans="1:8" ht="18" x14ac:dyDescent="0.35">
      <c r="A3" s="1" t="s">
        <v>113</v>
      </c>
    </row>
    <row r="5" spans="1:8" ht="15" customHeight="1" x14ac:dyDescent="0.35">
      <c r="A5" s="48" t="s">
        <v>0</v>
      </c>
      <c r="B5" s="49" t="s">
        <v>1</v>
      </c>
      <c r="C5" s="49" t="s">
        <v>2</v>
      </c>
      <c r="D5" s="50" t="s">
        <v>75</v>
      </c>
      <c r="E5" s="50" t="s">
        <v>91</v>
      </c>
      <c r="F5" s="50" t="s">
        <v>65</v>
      </c>
    </row>
    <row r="6" spans="1:8" x14ac:dyDescent="0.35">
      <c r="A6" s="72">
        <v>1</v>
      </c>
      <c r="B6" s="73" t="s">
        <v>96</v>
      </c>
      <c r="C6" s="47"/>
      <c r="D6" s="53">
        <v>62</v>
      </c>
      <c r="E6" s="53">
        <v>46</v>
      </c>
      <c r="F6" s="53">
        <f t="shared" ref="F6:F20" si="0">AVERAGE(D6:E6)</f>
        <v>54</v>
      </c>
      <c r="H6" s="52"/>
    </row>
    <row r="7" spans="1:8" x14ac:dyDescent="0.35">
      <c r="A7" s="72">
        <v>2</v>
      </c>
      <c r="B7" s="73" t="s">
        <v>97</v>
      </c>
      <c r="C7" s="47"/>
      <c r="D7" s="53">
        <v>49</v>
      </c>
      <c r="E7" s="53">
        <v>43</v>
      </c>
      <c r="F7" s="53">
        <f t="shared" si="0"/>
        <v>46</v>
      </c>
      <c r="H7" s="52"/>
    </row>
    <row r="8" spans="1:8" x14ac:dyDescent="0.35">
      <c r="A8" s="72">
        <v>3</v>
      </c>
      <c r="B8" s="73" t="s">
        <v>98</v>
      </c>
      <c r="C8" s="47"/>
      <c r="D8" s="53">
        <v>94</v>
      </c>
      <c r="E8" s="99">
        <v>92</v>
      </c>
      <c r="F8" s="53">
        <f t="shared" si="0"/>
        <v>93</v>
      </c>
      <c r="H8" s="52"/>
    </row>
    <row r="9" spans="1:8" x14ac:dyDescent="0.35">
      <c r="A9" s="72">
        <v>4</v>
      </c>
      <c r="B9" s="73" t="s">
        <v>99</v>
      </c>
      <c r="C9" s="47"/>
      <c r="D9" s="53">
        <v>68</v>
      </c>
      <c r="E9" s="99">
        <v>70</v>
      </c>
      <c r="F9" s="53">
        <f t="shared" si="0"/>
        <v>69</v>
      </c>
      <c r="H9" s="52"/>
    </row>
    <row r="10" spans="1:8" x14ac:dyDescent="0.35">
      <c r="A10" s="72">
        <v>5</v>
      </c>
      <c r="B10" s="73" t="s">
        <v>100</v>
      </c>
      <c r="C10" s="47"/>
      <c r="D10" s="53">
        <v>65</v>
      </c>
      <c r="E10" s="53">
        <v>60</v>
      </c>
      <c r="F10" s="53">
        <f t="shared" si="0"/>
        <v>62.5</v>
      </c>
      <c r="H10" s="52"/>
    </row>
    <row r="11" spans="1:8" x14ac:dyDescent="0.35">
      <c r="A11" s="26">
        <v>6</v>
      </c>
      <c r="B11" s="27" t="s">
        <v>101</v>
      </c>
      <c r="C11" s="47"/>
      <c r="D11" s="53">
        <v>77</v>
      </c>
      <c r="E11" s="99">
        <v>69</v>
      </c>
      <c r="F11" s="53">
        <f t="shared" si="0"/>
        <v>73</v>
      </c>
      <c r="H11" s="52"/>
    </row>
    <row r="12" spans="1:8" x14ac:dyDescent="0.35">
      <c r="A12" s="26">
        <v>7</v>
      </c>
      <c r="B12" s="98" t="s">
        <v>102</v>
      </c>
      <c r="C12" s="47"/>
      <c r="D12" s="53">
        <v>52</v>
      </c>
      <c r="E12" s="53">
        <v>45</v>
      </c>
      <c r="F12" s="53">
        <f t="shared" si="0"/>
        <v>48.5</v>
      </c>
      <c r="H12" s="52"/>
    </row>
    <row r="13" spans="1:8" x14ac:dyDescent="0.35">
      <c r="A13" s="26">
        <v>8</v>
      </c>
      <c r="B13" s="71" t="s">
        <v>110</v>
      </c>
      <c r="C13" s="47"/>
      <c r="D13" s="53">
        <v>34</v>
      </c>
      <c r="E13" s="53">
        <v>39</v>
      </c>
      <c r="F13" s="53">
        <f t="shared" si="0"/>
        <v>36.5</v>
      </c>
      <c r="H13" s="52"/>
    </row>
    <row r="14" spans="1:8" x14ac:dyDescent="0.35">
      <c r="A14" s="26">
        <v>9</v>
      </c>
      <c r="B14" s="27" t="s">
        <v>103</v>
      </c>
      <c r="C14" s="47"/>
      <c r="D14" s="53">
        <v>25</v>
      </c>
      <c r="E14" s="53">
        <v>40</v>
      </c>
      <c r="F14" s="53">
        <f t="shared" si="0"/>
        <v>32.5</v>
      </c>
      <c r="H14" s="52"/>
    </row>
    <row r="15" spans="1:8" x14ac:dyDescent="0.35">
      <c r="A15" s="26">
        <v>10</v>
      </c>
      <c r="B15" s="27" t="s">
        <v>104</v>
      </c>
      <c r="C15" s="47"/>
      <c r="D15" s="53">
        <v>45</v>
      </c>
      <c r="E15" s="53">
        <v>40</v>
      </c>
      <c r="F15" s="53">
        <f t="shared" si="0"/>
        <v>42.5</v>
      </c>
      <c r="H15" s="52"/>
    </row>
    <row r="16" spans="1:8" x14ac:dyDescent="0.35">
      <c r="A16" s="26">
        <v>11</v>
      </c>
      <c r="B16" s="27" t="s">
        <v>105</v>
      </c>
      <c r="C16" s="47"/>
      <c r="D16" s="53">
        <v>73</v>
      </c>
      <c r="E16" s="99">
        <v>80</v>
      </c>
      <c r="F16" s="53">
        <f t="shared" si="0"/>
        <v>76.5</v>
      </c>
      <c r="H16" s="52"/>
    </row>
    <row r="17" spans="1:8" x14ac:dyDescent="0.35">
      <c r="A17" s="26">
        <v>12</v>
      </c>
      <c r="B17" s="27" t="s">
        <v>106</v>
      </c>
      <c r="C17" s="47"/>
      <c r="D17" s="53">
        <v>57</v>
      </c>
      <c r="E17" s="79">
        <v>62</v>
      </c>
      <c r="F17" s="53">
        <f t="shared" si="0"/>
        <v>59.5</v>
      </c>
      <c r="H17" s="52"/>
    </row>
    <row r="18" spans="1:8" x14ac:dyDescent="0.35">
      <c r="A18" s="26">
        <v>13</v>
      </c>
      <c r="B18" s="27" t="s">
        <v>107</v>
      </c>
      <c r="C18" s="47"/>
      <c r="D18" s="53">
        <v>40</v>
      </c>
      <c r="E18" s="53">
        <v>41</v>
      </c>
      <c r="F18" s="53">
        <f t="shared" si="0"/>
        <v>40.5</v>
      </c>
      <c r="H18" s="52"/>
    </row>
    <row r="19" spans="1:8" x14ac:dyDescent="0.35">
      <c r="A19" s="26">
        <v>14</v>
      </c>
      <c r="B19" s="27" t="s">
        <v>108</v>
      </c>
      <c r="C19" s="47"/>
      <c r="D19" s="53">
        <v>25</v>
      </c>
      <c r="E19" s="53">
        <v>42</v>
      </c>
      <c r="F19" s="53">
        <f t="shared" si="0"/>
        <v>33.5</v>
      </c>
      <c r="H19" s="52"/>
    </row>
    <row r="20" spans="1:8" x14ac:dyDescent="0.35">
      <c r="A20" s="26">
        <v>15</v>
      </c>
      <c r="B20" s="27" t="s">
        <v>109</v>
      </c>
      <c r="C20" s="47"/>
      <c r="D20" s="53">
        <v>60</v>
      </c>
      <c r="E20" s="53">
        <v>58</v>
      </c>
      <c r="F20" s="53">
        <f t="shared" si="0"/>
        <v>59</v>
      </c>
      <c r="H20" s="52"/>
    </row>
    <row r="22" spans="1:8" x14ac:dyDescent="0.35">
      <c r="D22" t="s">
        <v>114</v>
      </c>
    </row>
    <row r="23" spans="1:8" x14ac:dyDescent="0.35">
      <c r="A23" t="s">
        <v>76</v>
      </c>
      <c r="C23" s="51"/>
      <c r="D23" t="s">
        <v>77</v>
      </c>
    </row>
    <row r="27" spans="1:8" x14ac:dyDescent="0.35">
      <c r="D27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R20"/>
  <sheetViews>
    <sheetView workbookViewId="0">
      <selection activeCell="A5" sqref="A5"/>
    </sheetView>
  </sheetViews>
  <sheetFormatPr defaultRowHeight="14.5" x14ac:dyDescent="0.35"/>
  <cols>
    <col min="1" max="1" width="5.1796875" customWidth="1"/>
    <col min="2" max="2" width="26.54296875" customWidth="1"/>
    <col min="3" max="17" width="7.453125" customWidth="1"/>
  </cols>
  <sheetData>
    <row r="1" spans="1:18" s="20" customFormat="1" x14ac:dyDescent="0.35">
      <c r="A1" s="102" t="s">
        <v>93</v>
      </c>
      <c r="B1" s="102" t="s">
        <v>1</v>
      </c>
      <c r="H1" s="93">
        <v>11</v>
      </c>
      <c r="I1" s="93">
        <v>14</v>
      </c>
      <c r="J1" s="93">
        <v>10</v>
      </c>
      <c r="K1" s="93">
        <v>22</v>
      </c>
      <c r="L1" s="93">
        <v>8</v>
      </c>
      <c r="M1" s="93">
        <v>8</v>
      </c>
      <c r="N1" s="93">
        <v>31</v>
      </c>
      <c r="O1" s="93">
        <v>32</v>
      </c>
      <c r="P1" s="93">
        <v>42</v>
      </c>
    </row>
    <row r="2" spans="1:18" ht="31.5" x14ac:dyDescent="0.35">
      <c r="A2" s="103"/>
      <c r="B2" s="103"/>
      <c r="C2" s="67" t="s">
        <v>36</v>
      </c>
      <c r="D2" s="67" t="s">
        <v>37</v>
      </c>
      <c r="E2" s="67" t="s">
        <v>38</v>
      </c>
      <c r="F2" s="68" t="s">
        <v>39</v>
      </c>
      <c r="G2" s="68" t="s">
        <v>40</v>
      </c>
      <c r="H2" s="68" t="s">
        <v>41</v>
      </c>
      <c r="I2" s="68" t="s">
        <v>42</v>
      </c>
      <c r="J2" s="68" t="s">
        <v>43</v>
      </c>
      <c r="K2" s="68" t="s">
        <v>44</v>
      </c>
      <c r="L2" s="68" t="s">
        <v>45</v>
      </c>
      <c r="M2" s="68" t="s">
        <v>46</v>
      </c>
      <c r="N2" s="68" t="s">
        <v>47</v>
      </c>
      <c r="O2" s="68" t="s">
        <v>48</v>
      </c>
      <c r="P2" s="68" t="s">
        <v>27</v>
      </c>
      <c r="Q2" s="68" t="s">
        <v>19</v>
      </c>
      <c r="R2" s="67" t="s">
        <v>111</v>
      </c>
    </row>
    <row r="3" spans="1:18" x14ac:dyDescent="0.35">
      <c r="A3" s="103"/>
      <c r="B3" s="103"/>
      <c r="C3" s="69"/>
      <c r="D3" s="69"/>
      <c r="E3" s="69"/>
      <c r="F3" s="70"/>
      <c r="G3" s="70"/>
      <c r="H3" s="75">
        <f>H4/H1</f>
        <v>0.90909090909090906</v>
      </c>
      <c r="I3" s="75">
        <f>I4/I1</f>
        <v>0.7142857142857143</v>
      </c>
      <c r="J3" s="75">
        <f>J4/J1</f>
        <v>1</v>
      </c>
      <c r="K3" s="75">
        <f>K4/K1</f>
        <v>0.45454545454545453</v>
      </c>
      <c r="L3" s="91">
        <f t="shared" ref="L3:M3" si="0">L4/L1</f>
        <v>0.875</v>
      </c>
      <c r="M3" s="92">
        <f t="shared" si="0"/>
        <v>1</v>
      </c>
      <c r="N3" s="75">
        <f>N4/N1</f>
        <v>0.12903225806451613</v>
      </c>
      <c r="O3" s="75">
        <f>O4/O1</f>
        <v>0.125</v>
      </c>
      <c r="P3" s="75">
        <f>P4/P1</f>
        <v>9.5238095238095233E-2</v>
      </c>
      <c r="Q3" s="75">
        <v>10</v>
      </c>
      <c r="R3" s="34"/>
    </row>
    <row r="4" spans="1:18" ht="15" thickBot="1" x14ac:dyDescent="0.4">
      <c r="A4" s="104"/>
      <c r="B4" s="104"/>
      <c r="C4" s="95">
        <v>4</v>
      </c>
      <c r="D4" s="95">
        <v>4</v>
      </c>
      <c r="E4" s="95">
        <v>5</v>
      </c>
      <c r="F4" s="96">
        <v>5</v>
      </c>
      <c r="G4" s="96">
        <v>5</v>
      </c>
      <c r="H4" s="96">
        <v>10</v>
      </c>
      <c r="I4" s="96">
        <v>10</v>
      </c>
      <c r="J4" s="96">
        <v>10</v>
      </c>
      <c r="K4" s="96">
        <v>10</v>
      </c>
      <c r="L4" s="96">
        <v>7</v>
      </c>
      <c r="M4" s="96">
        <v>8</v>
      </c>
      <c r="N4" s="96">
        <v>4</v>
      </c>
      <c r="O4" s="96">
        <v>4</v>
      </c>
      <c r="P4" s="96">
        <v>4</v>
      </c>
      <c r="Q4" s="96">
        <v>10</v>
      </c>
      <c r="R4" s="97">
        <f>SUM(C4:Q4)</f>
        <v>100</v>
      </c>
    </row>
    <row r="5" spans="1:18" x14ac:dyDescent="0.35">
      <c r="A5" s="72">
        <v>1</v>
      </c>
      <c r="B5" s="73" t="s">
        <v>96</v>
      </c>
      <c r="C5" s="80">
        <v>4</v>
      </c>
      <c r="D5" s="83">
        <v>4</v>
      </c>
      <c r="E5" s="85">
        <v>5</v>
      </c>
      <c r="F5" s="85">
        <v>5</v>
      </c>
      <c r="G5" s="85">
        <v>5</v>
      </c>
      <c r="H5" s="85">
        <v>0</v>
      </c>
      <c r="I5" s="85">
        <v>1</v>
      </c>
      <c r="J5" s="85">
        <v>3</v>
      </c>
      <c r="K5" s="85">
        <v>3</v>
      </c>
      <c r="L5" s="85">
        <v>0</v>
      </c>
      <c r="M5" s="85">
        <v>0</v>
      </c>
      <c r="N5" s="85">
        <v>1</v>
      </c>
      <c r="O5" s="85">
        <v>3</v>
      </c>
      <c r="P5" s="85">
        <v>7</v>
      </c>
      <c r="Q5" s="87">
        <v>10</v>
      </c>
      <c r="R5" s="90">
        <f>(C5+D5+E5+F5+G5+(H5*H$3)+(I5*I$3)+(J5*J$3)+(K5*K$3)+(L5*L$3)+(M5*M$3)+(N5*N$3)+(O5*O$3)+(P5*P$3)+Q5)</f>
        <v>39.248621002653266</v>
      </c>
    </row>
    <row r="6" spans="1:18" x14ac:dyDescent="0.35">
      <c r="A6" s="72">
        <v>2</v>
      </c>
      <c r="B6" s="73" t="s">
        <v>97</v>
      </c>
      <c r="C6" s="81">
        <v>4</v>
      </c>
      <c r="D6" s="64">
        <v>4</v>
      </c>
      <c r="E6" s="60">
        <v>5</v>
      </c>
      <c r="F6" s="60">
        <v>5</v>
      </c>
      <c r="G6" s="60">
        <v>5</v>
      </c>
      <c r="H6" s="60">
        <v>1</v>
      </c>
      <c r="I6" s="60">
        <v>10</v>
      </c>
      <c r="J6" s="60">
        <v>0</v>
      </c>
      <c r="K6" s="60">
        <v>0</v>
      </c>
      <c r="L6" s="60">
        <v>0</v>
      </c>
      <c r="M6" s="60">
        <v>0</v>
      </c>
      <c r="N6" s="60">
        <v>2</v>
      </c>
      <c r="O6" s="60">
        <v>7</v>
      </c>
      <c r="P6" s="60">
        <v>10</v>
      </c>
      <c r="Q6" s="88">
        <v>10</v>
      </c>
      <c r="R6" s="90">
        <f t="shared" ref="R6:R19" si="1">(C6+D6+E6+F6+G6+(H6*H$3)+(I6*I$3)+(J6*J$3)+(K6*K$3)+(L6*L$3)+(M6*M$3)+(N6*N$3)+(O6*O$3)+(P6*P$3)+Q6)</f>
        <v>43.137393520458033</v>
      </c>
    </row>
    <row r="7" spans="1:18" x14ac:dyDescent="0.35">
      <c r="A7" s="72">
        <v>3</v>
      </c>
      <c r="B7" s="73" t="s">
        <v>98</v>
      </c>
      <c r="C7" s="81">
        <v>4</v>
      </c>
      <c r="D7" s="64">
        <v>4</v>
      </c>
      <c r="E7" s="60">
        <v>5</v>
      </c>
      <c r="F7" s="60">
        <v>5</v>
      </c>
      <c r="G7" s="60">
        <v>5</v>
      </c>
      <c r="H7" s="60">
        <v>8</v>
      </c>
      <c r="I7" s="60">
        <v>13</v>
      </c>
      <c r="J7" s="60">
        <v>8</v>
      </c>
      <c r="K7" s="60">
        <v>13</v>
      </c>
      <c r="L7" s="60">
        <v>4</v>
      </c>
      <c r="M7" s="60">
        <v>5</v>
      </c>
      <c r="N7" s="60">
        <v>22</v>
      </c>
      <c r="O7" s="60">
        <v>17</v>
      </c>
      <c r="P7" s="60">
        <v>19</v>
      </c>
      <c r="Q7" s="88">
        <v>10</v>
      </c>
      <c r="R7" s="94">
        <f t="shared" si="1"/>
        <v>78.740765954475634</v>
      </c>
    </row>
    <row r="8" spans="1:18" x14ac:dyDescent="0.35">
      <c r="A8" s="72">
        <v>4</v>
      </c>
      <c r="B8" s="73" t="s">
        <v>99</v>
      </c>
      <c r="C8" s="81">
        <v>4</v>
      </c>
      <c r="D8" s="64">
        <v>4</v>
      </c>
      <c r="E8" s="60">
        <v>5</v>
      </c>
      <c r="F8" s="60">
        <v>5</v>
      </c>
      <c r="G8" s="60">
        <v>5</v>
      </c>
      <c r="H8" s="60">
        <v>5</v>
      </c>
      <c r="I8" s="60">
        <v>10</v>
      </c>
      <c r="J8" s="60">
        <v>9</v>
      </c>
      <c r="K8" s="60">
        <v>7</v>
      </c>
      <c r="L8" s="60">
        <v>4</v>
      </c>
      <c r="M8" s="60">
        <v>4</v>
      </c>
      <c r="N8" s="60">
        <v>12</v>
      </c>
      <c r="O8" s="60">
        <v>13</v>
      </c>
      <c r="P8" s="60">
        <v>11</v>
      </c>
      <c r="Q8" s="88">
        <v>10</v>
      </c>
      <c r="R8" s="90">
        <f t="shared" si="1"/>
        <v>68.591136014523116</v>
      </c>
    </row>
    <row r="9" spans="1:18" x14ac:dyDescent="0.35">
      <c r="A9" s="72">
        <v>5</v>
      </c>
      <c r="B9" s="73" t="s">
        <v>100</v>
      </c>
      <c r="C9" s="81">
        <v>4</v>
      </c>
      <c r="D9" s="64">
        <v>4</v>
      </c>
      <c r="E9" s="60">
        <v>5</v>
      </c>
      <c r="F9" s="60">
        <v>5</v>
      </c>
      <c r="G9" s="60">
        <v>5</v>
      </c>
      <c r="H9" s="60">
        <v>4</v>
      </c>
      <c r="I9" s="60">
        <v>10</v>
      </c>
      <c r="J9" s="60">
        <v>9</v>
      </c>
      <c r="K9" s="60">
        <v>15</v>
      </c>
      <c r="L9" s="60">
        <v>5</v>
      </c>
      <c r="M9" s="60">
        <v>5</v>
      </c>
      <c r="N9" s="60">
        <v>8</v>
      </c>
      <c r="O9" s="60">
        <v>11</v>
      </c>
      <c r="P9" s="60">
        <v>12</v>
      </c>
      <c r="Q9" s="88">
        <v>10</v>
      </c>
      <c r="R9" s="90">
        <f t="shared" si="1"/>
        <v>72.522517804775873</v>
      </c>
    </row>
    <row r="10" spans="1:18" x14ac:dyDescent="0.35">
      <c r="A10" s="26">
        <v>6</v>
      </c>
      <c r="B10" s="27" t="s">
        <v>101</v>
      </c>
      <c r="C10" s="81">
        <v>4</v>
      </c>
      <c r="D10" s="64">
        <v>4</v>
      </c>
      <c r="E10" s="60">
        <v>5</v>
      </c>
      <c r="F10" s="60">
        <v>5</v>
      </c>
      <c r="G10" s="60">
        <v>5</v>
      </c>
      <c r="H10" s="60">
        <v>9</v>
      </c>
      <c r="I10" s="60">
        <v>13</v>
      </c>
      <c r="J10" s="60">
        <v>9</v>
      </c>
      <c r="K10" s="60">
        <v>15</v>
      </c>
      <c r="L10" s="60">
        <v>5</v>
      </c>
      <c r="M10" s="60">
        <v>5</v>
      </c>
      <c r="N10" s="60">
        <v>19</v>
      </c>
      <c r="O10" s="60">
        <v>15</v>
      </c>
      <c r="P10" s="60">
        <v>21</v>
      </c>
      <c r="Q10" s="88">
        <v>10</v>
      </c>
      <c r="R10" s="94">
        <f t="shared" si="1"/>
        <v>81.987327188940085</v>
      </c>
    </row>
    <row r="11" spans="1:18" x14ac:dyDescent="0.35">
      <c r="A11" s="26">
        <v>7</v>
      </c>
      <c r="B11" s="27" t="s">
        <v>102</v>
      </c>
      <c r="C11" s="81">
        <v>4</v>
      </c>
      <c r="D11" s="64">
        <v>4</v>
      </c>
      <c r="E11" s="60">
        <v>5</v>
      </c>
      <c r="F11" s="60">
        <v>5</v>
      </c>
      <c r="G11" s="60">
        <v>5</v>
      </c>
      <c r="H11" s="60">
        <v>4</v>
      </c>
      <c r="I11" s="60">
        <v>5</v>
      </c>
      <c r="J11" s="60">
        <v>4</v>
      </c>
      <c r="K11" s="60">
        <v>5</v>
      </c>
      <c r="L11" s="60">
        <v>0</v>
      </c>
      <c r="M11" s="60">
        <v>0</v>
      </c>
      <c r="N11" s="60">
        <v>6</v>
      </c>
      <c r="O11" s="60">
        <v>7</v>
      </c>
      <c r="P11" s="60">
        <v>10</v>
      </c>
      <c r="Q11" s="88">
        <v>10</v>
      </c>
      <c r="R11" s="90">
        <f t="shared" si="1"/>
        <v>49.082093981287528</v>
      </c>
    </row>
    <row r="12" spans="1:18" x14ac:dyDescent="0.35">
      <c r="A12" s="26">
        <v>8</v>
      </c>
      <c r="B12" s="27" t="s">
        <v>110</v>
      </c>
      <c r="C12" s="81">
        <v>4</v>
      </c>
      <c r="D12" s="64">
        <v>4</v>
      </c>
      <c r="E12" s="60">
        <v>5</v>
      </c>
      <c r="F12" s="60">
        <v>5</v>
      </c>
      <c r="G12" s="60">
        <v>5</v>
      </c>
      <c r="H12" s="60">
        <v>0</v>
      </c>
      <c r="I12" s="60">
        <v>0</v>
      </c>
      <c r="J12" s="60">
        <v>0</v>
      </c>
      <c r="K12" s="60">
        <v>0</v>
      </c>
      <c r="L12" s="60">
        <v>0</v>
      </c>
      <c r="M12" s="60">
        <v>0</v>
      </c>
      <c r="N12" s="60">
        <v>1</v>
      </c>
      <c r="O12" s="60">
        <v>3</v>
      </c>
      <c r="P12" s="60">
        <v>7</v>
      </c>
      <c r="Q12" s="88">
        <v>10</v>
      </c>
      <c r="R12" s="90">
        <f t="shared" si="1"/>
        <v>34.170698924731184</v>
      </c>
    </row>
    <row r="13" spans="1:18" x14ac:dyDescent="0.35">
      <c r="A13" s="26">
        <v>9</v>
      </c>
      <c r="B13" s="27" t="s">
        <v>103</v>
      </c>
      <c r="C13" s="81">
        <v>4</v>
      </c>
      <c r="D13" s="64">
        <v>4</v>
      </c>
      <c r="E13" s="60">
        <v>5</v>
      </c>
      <c r="F13" s="60">
        <v>5</v>
      </c>
      <c r="G13" s="60">
        <v>5</v>
      </c>
      <c r="H13" s="60">
        <v>0</v>
      </c>
      <c r="I13" s="60">
        <v>0</v>
      </c>
      <c r="J13" s="60">
        <v>3</v>
      </c>
      <c r="K13" s="60">
        <v>4</v>
      </c>
      <c r="L13" s="60">
        <v>0</v>
      </c>
      <c r="M13" s="60">
        <v>0</v>
      </c>
      <c r="N13" s="60">
        <v>1</v>
      </c>
      <c r="O13" s="60">
        <v>3</v>
      </c>
      <c r="P13" s="60">
        <v>7</v>
      </c>
      <c r="Q13" s="88">
        <v>10</v>
      </c>
      <c r="R13" s="90">
        <f t="shared" si="1"/>
        <v>38.988880742912997</v>
      </c>
    </row>
    <row r="14" spans="1:18" x14ac:dyDescent="0.35">
      <c r="A14" s="26">
        <v>10</v>
      </c>
      <c r="B14" s="27" t="s">
        <v>104</v>
      </c>
      <c r="C14" s="81">
        <v>4</v>
      </c>
      <c r="D14" s="64">
        <v>4</v>
      </c>
      <c r="E14" s="60">
        <v>5</v>
      </c>
      <c r="F14" s="60">
        <v>5</v>
      </c>
      <c r="G14" s="60">
        <v>5</v>
      </c>
      <c r="H14" s="60">
        <v>2</v>
      </c>
      <c r="I14" s="60">
        <v>9</v>
      </c>
      <c r="J14" s="60">
        <v>3</v>
      </c>
      <c r="K14" s="60">
        <v>4</v>
      </c>
      <c r="L14" s="60">
        <v>0</v>
      </c>
      <c r="M14" s="60">
        <v>0</v>
      </c>
      <c r="N14" s="60">
        <v>5</v>
      </c>
      <c r="O14" s="60">
        <v>5</v>
      </c>
      <c r="P14" s="60">
        <v>9</v>
      </c>
      <c r="Q14" s="88">
        <v>10</v>
      </c>
      <c r="R14" s="90">
        <f t="shared" si="1"/>
        <v>48.192239212400501</v>
      </c>
    </row>
    <row r="15" spans="1:18" x14ac:dyDescent="0.35">
      <c r="A15" s="26">
        <v>11</v>
      </c>
      <c r="B15" s="27" t="s">
        <v>105</v>
      </c>
      <c r="C15" s="81">
        <v>4</v>
      </c>
      <c r="D15" s="64">
        <v>4</v>
      </c>
      <c r="E15" s="60">
        <v>5</v>
      </c>
      <c r="F15" s="60">
        <v>5</v>
      </c>
      <c r="G15" s="60">
        <v>5</v>
      </c>
      <c r="H15" s="60">
        <v>6</v>
      </c>
      <c r="I15" s="60">
        <v>11</v>
      </c>
      <c r="J15" s="60">
        <v>8</v>
      </c>
      <c r="K15" s="60">
        <v>14</v>
      </c>
      <c r="L15" s="60">
        <v>6</v>
      </c>
      <c r="M15" s="60">
        <v>7</v>
      </c>
      <c r="N15" s="60">
        <v>19</v>
      </c>
      <c r="O15" s="60">
        <v>17</v>
      </c>
      <c r="P15" s="60">
        <v>20</v>
      </c>
      <c r="Q15" s="88">
        <v>10</v>
      </c>
      <c r="R15" s="94">
        <f t="shared" si="1"/>
        <v>79.40669948331238</v>
      </c>
    </row>
    <row r="16" spans="1:18" x14ac:dyDescent="0.35">
      <c r="A16" s="26">
        <v>12</v>
      </c>
      <c r="B16" s="27" t="s">
        <v>106</v>
      </c>
      <c r="C16" s="81">
        <v>4</v>
      </c>
      <c r="D16" s="64">
        <v>4</v>
      </c>
      <c r="E16" s="60">
        <v>5</v>
      </c>
      <c r="F16" s="60">
        <v>5</v>
      </c>
      <c r="G16" s="60">
        <v>5</v>
      </c>
      <c r="H16" s="60">
        <v>3</v>
      </c>
      <c r="I16" s="60">
        <v>9</v>
      </c>
      <c r="J16" s="60">
        <v>3</v>
      </c>
      <c r="K16" s="60">
        <v>4</v>
      </c>
      <c r="L16" s="60">
        <v>0</v>
      </c>
      <c r="M16" s="60">
        <v>0</v>
      </c>
      <c r="N16" s="60">
        <v>9</v>
      </c>
      <c r="O16" s="60">
        <v>11</v>
      </c>
      <c r="P16" s="60">
        <v>17</v>
      </c>
      <c r="Q16" s="88">
        <v>10</v>
      </c>
      <c r="R16" s="90">
        <f t="shared" si="1"/>
        <v>51.129363915654245</v>
      </c>
    </row>
    <row r="17" spans="1:18" x14ac:dyDescent="0.35">
      <c r="A17" s="26">
        <v>13</v>
      </c>
      <c r="B17" s="27" t="s">
        <v>107</v>
      </c>
      <c r="C17" s="81">
        <v>4</v>
      </c>
      <c r="D17" s="64">
        <v>4</v>
      </c>
      <c r="E17" s="60">
        <v>5</v>
      </c>
      <c r="F17" s="60">
        <v>5</v>
      </c>
      <c r="G17" s="60">
        <v>5</v>
      </c>
      <c r="H17" s="60">
        <v>2</v>
      </c>
      <c r="I17" s="60">
        <v>0</v>
      </c>
      <c r="J17" s="60">
        <v>0</v>
      </c>
      <c r="K17" s="60">
        <v>2</v>
      </c>
      <c r="L17" s="60">
        <v>0</v>
      </c>
      <c r="M17" s="60">
        <v>0</v>
      </c>
      <c r="N17" s="60">
        <v>3</v>
      </c>
      <c r="O17" s="60">
        <v>5</v>
      </c>
      <c r="P17" s="60">
        <v>7</v>
      </c>
      <c r="Q17" s="88">
        <v>10</v>
      </c>
      <c r="R17" s="90">
        <f t="shared" si="1"/>
        <v>37.406036168132943</v>
      </c>
    </row>
    <row r="18" spans="1:18" x14ac:dyDescent="0.35">
      <c r="A18" s="26">
        <v>14</v>
      </c>
      <c r="B18" s="27" t="s">
        <v>108</v>
      </c>
      <c r="C18" s="81">
        <v>4</v>
      </c>
      <c r="D18" s="64">
        <v>4</v>
      </c>
      <c r="E18" s="60">
        <v>5</v>
      </c>
      <c r="F18" s="60">
        <v>5</v>
      </c>
      <c r="G18" s="60">
        <v>5</v>
      </c>
      <c r="H18" s="60">
        <v>2</v>
      </c>
      <c r="I18" s="60">
        <v>1</v>
      </c>
      <c r="J18" s="60">
        <v>3</v>
      </c>
      <c r="K18" s="60">
        <v>4</v>
      </c>
      <c r="L18" s="60">
        <v>4</v>
      </c>
      <c r="M18" s="60">
        <v>3</v>
      </c>
      <c r="N18" s="60">
        <v>5</v>
      </c>
      <c r="O18" s="60">
        <v>3</v>
      </c>
      <c r="P18" s="60">
        <v>7</v>
      </c>
      <c r="Q18" s="88">
        <v>10</v>
      </c>
      <c r="R18" s="90">
        <f t="shared" si="1"/>
        <v>48.537477307638596</v>
      </c>
    </row>
    <row r="19" spans="1:18" ht="15" thickBot="1" x14ac:dyDescent="0.4">
      <c r="A19" s="26">
        <v>15</v>
      </c>
      <c r="B19" s="27" t="s">
        <v>109</v>
      </c>
      <c r="C19" s="82">
        <v>4</v>
      </c>
      <c r="D19" s="84">
        <v>4</v>
      </c>
      <c r="E19" s="86">
        <v>5</v>
      </c>
      <c r="F19" s="86">
        <v>5</v>
      </c>
      <c r="G19" s="86">
        <v>5</v>
      </c>
      <c r="H19" s="86">
        <v>5</v>
      </c>
      <c r="I19" s="86">
        <v>10</v>
      </c>
      <c r="J19" s="86">
        <v>6</v>
      </c>
      <c r="K19" s="86">
        <v>10</v>
      </c>
      <c r="L19" s="86">
        <v>1</v>
      </c>
      <c r="M19" s="86">
        <v>1</v>
      </c>
      <c r="N19" s="86">
        <v>9</v>
      </c>
      <c r="O19" s="86">
        <v>11</v>
      </c>
      <c r="P19" s="86">
        <v>17</v>
      </c>
      <c r="Q19" s="89">
        <v>10</v>
      </c>
      <c r="R19" s="94">
        <f t="shared" si="1"/>
        <v>61.264104175394507</v>
      </c>
    </row>
    <row r="20" spans="1:18" x14ac:dyDescent="0.35">
      <c r="H20">
        <v>11</v>
      </c>
      <c r="I20">
        <v>14</v>
      </c>
      <c r="J20">
        <v>10</v>
      </c>
      <c r="K20">
        <v>22</v>
      </c>
      <c r="L20">
        <v>8</v>
      </c>
      <c r="N20">
        <v>32</v>
      </c>
      <c r="O20">
        <v>32</v>
      </c>
      <c r="P20">
        <v>42</v>
      </c>
    </row>
  </sheetData>
  <mergeCells count="2">
    <mergeCell ref="A1:A4"/>
    <mergeCell ref="B1:B4"/>
  </mergeCells>
  <pageMargins left="0.52" right="0.28999999999999998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23"/>
  <sheetViews>
    <sheetView zoomScale="90" zoomScaleNormal="90" workbookViewId="0">
      <pane ySplit="8" topLeftCell="A9" activePane="bottomLeft" state="frozen"/>
      <selection pane="bottomLeft" activeCell="B9" sqref="B9:C23"/>
    </sheetView>
  </sheetViews>
  <sheetFormatPr defaultColWidth="9.1796875" defaultRowHeight="15.5" x14ac:dyDescent="0.35"/>
  <cols>
    <col min="1" max="1" width="5.81640625" style="6" customWidth="1"/>
    <col min="2" max="2" width="29.453125" style="4" customWidth="1"/>
    <col min="3" max="3" width="29.54296875" style="5" bestFit="1" customWidth="1"/>
    <col min="4" max="4" width="9.81640625" style="6" customWidth="1"/>
    <col min="5" max="13" width="7.81640625" style="5" hidden="1" customWidth="1"/>
    <col min="14" max="14" width="7.81640625" style="5" customWidth="1"/>
    <col min="15" max="22" width="7.81640625" style="5" hidden="1" customWidth="1"/>
    <col min="23" max="23" width="7.81640625" style="5" customWidth="1"/>
    <col min="24" max="32" width="7.81640625" style="5" hidden="1" customWidth="1"/>
    <col min="33" max="34" width="7.81640625" style="5" customWidth="1"/>
    <col min="35" max="36" width="8" style="5" customWidth="1"/>
    <col min="37" max="37" width="12.26953125" style="5" customWidth="1"/>
    <col min="38" max="38" width="10.1796875" style="5" customWidth="1"/>
    <col min="39" max="41" width="8" style="5" customWidth="1"/>
    <col min="42" max="42" width="9.453125" style="5" customWidth="1"/>
    <col min="43" max="43" width="9.81640625" style="5" customWidth="1"/>
    <col min="44" max="46" width="8" style="5" customWidth="1"/>
    <col min="47" max="47" width="10.54296875" style="5" customWidth="1"/>
    <col min="48" max="48" width="8" style="5" customWidth="1"/>
    <col min="49" max="49" width="9.26953125" style="5" customWidth="1"/>
    <col min="50" max="51" width="10.1796875" style="5" customWidth="1"/>
    <col min="52" max="16384" width="9.1796875" style="5"/>
  </cols>
  <sheetData>
    <row r="1" spans="1:51" ht="18" x14ac:dyDescent="0.35">
      <c r="A1" s="1" t="s">
        <v>63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51" ht="18" x14ac:dyDescent="0.35">
      <c r="A2" s="1" t="s">
        <v>62</v>
      </c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51" ht="18" x14ac:dyDescent="0.35">
      <c r="A3" s="1" t="s">
        <v>64</v>
      </c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5" spans="1:51" s="19" customFormat="1" ht="11.25" customHeight="1" x14ac:dyDescent="0.35">
      <c r="A5" s="114" t="s">
        <v>0</v>
      </c>
      <c r="B5" s="102" t="s">
        <v>1</v>
      </c>
      <c r="C5" s="102" t="s">
        <v>2</v>
      </c>
      <c r="D5" s="105" t="s">
        <v>3</v>
      </c>
      <c r="E5" s="107" t="s">
        <v>4</v>
      </c>
      <c r="F5" s="108"/>
      <c r="G5" s="108"/>
      <c r="H5" s="108"/>
      <c r="I5" s="108"/>
      <c r="J5" s="108"/>
      <c r="K5" s="108"/>
      <c r="L5" s="108"/>
      <c r="M5" s="108"/>
      <c r="N5" s="108"/>
      <c r="O5" s="113" t="s">
        <v>5</v>
      </c>
      <c r="P5" s="113"/>
      <c r="Q5" s="113"/>
      <c r="R5" s="113"/>
      <c r="S5" s="113"/>
      <c r="T5" s="113"/>
      <c r="U5" s="113"/>
      <c r="V5" s="113"/>
      <c r="W5" s="113"/>
      <c r="X5" s="107" t="s">
        <v>6</v>
      </c>
      <c r="Y5" s="108"/>
      <c r="Z5" s="108"/>
      <c r="AA5" s="108"/>
      <c r="AB5" s="108"/>
      <c r="AC5" s="108"/>
      <c r="AD5" s="108"/>
      <c r="AE5" s="108"/>
      <c r="AF5" s="108"/>
      <c r="AG5" s="108"/>
      <c r="AH5" s="109"/>
      <c r="AI5" s="110" t="s">
        <v>7</v>
      </c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2"/>
      <c r="AW5" s="105" t="s">
        <v>11</v>
      </c>
      <c r="AX5" s="105" t="s">
        <v>12</v>
      </c>
      <c r="AY5" s="105" t="s">
        <v>13</v>
      </c>
    </row>
    <row r="6" spans="1:51" s="19" customFormat="1" ht="42" x14ac:dyDescent="0.35">
      <c r="A6" s="115"/>
      <c r="B6" s="103"/>
      <c r="C6" s="103"/>
      <c r="D6" s="106"/>
      <c r="E6" s="7" t="s">
        <v>14</v>
      </c>
      <c r="F6" s="7" t="s">
        <v>17</v>
      </c>
      <c r="G6" s="7" t="s">
        <v>15</v>
      </c>
      <c r="H6" s="7" t="s">
        <v>18</v>
      </c>
      <c r="I6" s="7" t="s">
        <v>16</v>
      </c>
      <c r="J6" s="7" t="s">
        <v>22</v>
      </c>
      <c r="K6" s="7" t="s">
        <v>55</v>
      </c>
      <c r="L6" s="7" t="s">
        <v>56</v>
      </c>
      <c r="M6" s="7" t="s">
        <v>19</v>
      </c>
      <c r="N6" s="7" t="s">
        <v>20</v>
      </c>
      <c r="O6" s="7" t="s">
        <v>57</v>
      </c>
      <c r="P6" s="7" t="s">
        <v>58</v>
      </c>
      <c r="Q6" s="7" t="s">
        <v>59</v>
      </c>
      <c r="R6" s="7" t="s">
        <v>60</v>
      </c>
      <c r="S6" s="7" t="s">
        <v>61</v>
      </c>
      <c r="T6" s="7" t="s">
        <v>21</v>
      </c>
      <c r="U6" s="7" t="s">
        <v>23</v>
      </c>
      <c r="V6" s="7" t="s">
        <v>19</v>
      </c>
      <c r="W6" s="7" t="s">
        <v>24</v>
      </c>
      <c r="X6" s="7" t="s">
        <v>25</v>
      </c>
      <c r="Y6" s="7" t="s">
        <v>26</v>
      </c>
      <c r="Z6" s="7" t="s">
        <v>27</v>
      </c>
      <c r="AA6" s="7" t="s">
        <v>28</v>
      </c>
      <c r="AB6" s="7" t="s">
        <v>29</v>
      </c>
      <c r="AC6" s="7" t="s">
        <v>30</v>
      </c>
      <c r="AD6" s="7" t="s">
        <v>31</v>
      </c>
      <c r="AE6" s="7" t="s">
        <v>32</v>
      </c>
      <c r="AF6" s="7" t="s">
        <v>33</v>
      </c>
      <c r="AG6" s="7" t="s">
        <v>34</v>
      </c>
      <c r="AH6" s="8" t="s">
        <v>35</v>
      </c>
      <c r="AI6" s="7" t="s">
        <v>78</v>
      </c>
      <c r="AJ6" s="7" t="s">
        <v>79</v>
      </c>
      <c r="AK6" s="7" t="s">
        <v>80</v>
      </c>
      <c r="AL6" s="8" t="s">
        <v>81</v>
      </c>
      <c r="AM6" s="8" t="s">
        <v>82</v>
      </c>
      <c r="AN6" s="8" t="s">
        <v>83</v>
      </c>
      <c r="AO6" s="8" t="s">
        <v>84</v>
      </c>
      <c r="AP6" s="8" t="s">
        <v>85</v>
      </c>
      <c r="AQ6" s="8" t="s">
        <v>86</v>
      </c>
      <c r="AR6" s="8" t="s">
        <v>87</v>
      </c>
      <c r="AS6" s="8" t="s">
        <v>88</v>
      </c>
      <c r="AT6" s="8" t="s">
        <v>89</v>
      </c>
      <c r="AU6" s="8" t="s">
        <v>90</v>
      </c>
      <c r="AV6" s="8" t="s">
        <v>35</v>
      </c>
      <c r="AW6" s="106"/>
      <c r="AX6" s="106"/>
      <c r="AY6" s="106"/>
    </row>
    <row r="7" spans="1:51" s="19" customFormat="1" ht="15" customHeight="1" x14ac:dyDescent="0.35">
      <c r="A7" s="115"/>
      <c r="B7" s="103"/>
      <c r="C7" s="103"/>
      <c r="D7" s="13">
        <v>0.1</v>
      </c>
      <c r="E7" s="13"/>
      <c r="F7" s="13"/>
      <c r="G7" s="13"/>
      <c r="H7" s="13"/>
      <c r="I7" s="13"/>
      <c r="J7" s="13"/>
      <c r="K7" s="13"/>
      <c r="L7" s="13"/>
      <c r="M7" s="13"/>
      <c r="N7" s="13">
        <v>0.4</v>
      </c>
      <c r="O7" s="13"/>
      <c r="P7" s="13"/>
      <c r="Q7" s="13"/>
      <c r="R7" s="13"/>
      <c r="S7" s="13"/>
      <c r="T7" s="13"/>
      <c r="U7" s="13"/>
      <c r="V7" s="13"/>
      <c r="W7" s="13">
        <v>0.2</v>
      </c>
      <c r="X7" s="13"/>
      <c r="Y7" s="13"/>
      <c r="Z7" s="13"/>
      <c r="AA7" s="13"/>
      <c r="AB7" s="13"/>
      <c r="AC7" s="13"/>
      <c r="AD7" s="13"/>
      <c r="AE7" s="13"/>
      <c r="AF7" s="13"/>
      <c r="AG7" s="13">
        <v>0.4</v>
      </c>
      <c r="AH7" s="10">
        <f>(N7+W7+AG7)/2</f>
        <v>0.5</v>
      </c>
      <c r="AI7" s="14"/>
      <c r="AJ7" s="14"/>
      <c r="AK7" s="14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6">
        <v>0.3</v>
      </c>
      <c r="AW7" s="17">
        <v>0.1</v>
      </c>
      <c r="AX7" s="18">
        <f t="shared" ref="AX7:AX23" si="0">D7+AH7+AV7+AW7</f>
        <v>0.99999999999999989</v>
      </c>
      <c r="AY7" s="18">
        <v>1</v>
      </c>
    </row>
    <row r="8" spans="1:51" s="19" customFormat="1" ht="11.25" customHeight="1" x14ac:dyDescent="0.35">
      <c r="A8" s="116"/>
      <c r="B8" s="104"/>
      <c r="C8" s="104"/>
      <c r="D8" s="23">
        <v>100</v>
      </c>
      <c r="E8" s="23">
        <v>3</v>
      </c>
      <c r="F8" s="23">
        <v>4</v>
      </c>
      <c r="G8" s="23">
        <v>8</v>
      </c>
      <c r="H8" s="23">
        <v>7.5</v>
      </c>
      <c r="I8" s="23">
        <v>5</v>
      </c>
      <c r="J8" s="23">
        <v>4</v>
      </c>
      <c r="K8" s="23">
        <v>2</v>
      </c>
      <c r="L8" s="23">
        <v>1.5</v>
      </c>
      <c r="M8" s="23">
        <v>5</v>
      </c>
      <c r="N8" s="23">
        <f t="shared" ref="N8:N21" si="1">SUM(E8:M8)</f>
        <v>40</v>
      </c>
      <c r="O8" s="23">
        <v>2</v>
      </c>
      <c r="P8" s="23">
        <v>2</v>
      </c>
      <c r="Q8" s="23">
        <v>2</v>
      </c>
      <c r="R8" s="23">
        <v>2</v>
      </c>
      <c r="S8" s="23">
        <v>2</v>
      </c>
      <c r="T8" s="23">
        <v>6</v>
      </c>
      <c r="U8" s="23">
        <v>2</v>
      </c>
      <c r="V8" s="23">
        <v>2</v>
      </c>
      <c r="W8" s="24">
        <f>SUM(O8:V8)</f>
        <v>20</v>
      </c>
      <c r="X8" s="24">
        <v>6</v>
      </c>
      <c r="Y8" s="24">
        <v>7</v>
      </c>
      <c r="Z8" s="24">
        <v>5</v>
      </c>
      <c r="AA8" s="24">
        <v>5</v>
      </c>
      <c r="AB8" s="24">
        <v>2</v>
      </c>
      <c r="AC8" s="24">
        <v>2</v>
      </c>
      <c r="AD8" s="24">
        <v>5</v>
      </c>
      <c r="AE8" s="24">
        <v>5</v>
      </c>
      <c r="AF8" s="24">
        <v>3</v>
      </c>
      <c r="AG8" s="24">
        <f t="shared" ref="AG8" si="2">SUM(X8:AF8)</f>
        <v>40</v>
      </c>
      <c r="AH8" s="25">
        <f t="shared" ref="AH8" si="3">N8+W8+AG8</f>
        <v>100</v>
      </c>
      <c r="AI8" s="11">
        <v>5</v>
      </c>
      <c r="AJ8" s="11">
        <v>5</v>
      </c>
      <c r="AK8" s="11">
        <v>5</v>
      </c>
      <c r="AL8" s="12">
        <v>5</v>
      </c>
      <c r="AM8" s="12">
        <v>5</v>
      </c>
      <c r="AN8" s="12">
        <v>10</v>
      </c>
      <c r="AO8" s="12">
        <v>10</v>
      </c>
      <c r="AP8" s="12">
        <v>10</v>
      </c>
      <c r="AQ8" s="12">
        <v>10</v>
      </c>
      <c r="AR8" s="12">
        <v>7</v>
      </c>
      <c r="AS8" s="12">
        <v>8</v>
      </c>
      <c r="AT8" s="12">
        <v>5</v>
      </c>
      <c r="AU8" s="12">
        <v>5</v>
      </c>
      <c r="AV8" s="12">
        <f t="shared" ref="AV8:AV23" si="4">SUM(AI8:AU8)</f>
        <v>90</v>
      </c>
      <c r="AW8" s="12">
        <v>100</v>
      </c>
      <c r="AX8" s="12">
        <f t="shared" si="0"/>
        <v>390</v>
      </c>
      <c r="AY8" s="12">
        <f t="shared" ref="AY8:AY23" si="5">(10%*D8)+(50%*AH8)+(30%*AV8)+(10%*AW8)</f>
        <v>97</v>
      </c>
    </row>
    <row r="9" spans="1:51" s="28" customFormat="1" ht="11.5" x14ac:dyDescent="0.35">
      <c r="A9" s="26">
        <v>1</v>
      </c>
      <c r="B9" s="27"/>
      <c r="C9" s="27"/>
      <c r="D9" s="42">
        <f>31*2</f>
        <v>62</v>
      </c>
      <c r="E9" s="29">
        <v>2</v>
      </c>
      <c r="F9" s="29">
        <v>1</v>
      </c>
      <c r="G9" s="29">
        <v>3.5</v>
      </c>
      <c r="H9" s="29">
        <v>3</v>
      </c>
      <c r="I9" s="29">
        <v>2</v>
      </c>
      <c r="J9" s="29">
        <v>2.7</v>
      </c>
      <c r="K9" s="29">
        <v>1.3</v>
      </c>
      <c r="L9" s="29">
        <v>0.4</v>
      </c>
      <c r="M9" s="29">
        <v>5</v>
      </c>
      <c r="N9" s="30">
        <f t="shared" si="1"/>
        <v>20.9</v>
      </c>
      <c r="O9" s="29">
        <v>2</v>
      </c>
      <c r="P9" s="29">
        <v>2</v>
      </c>
      <c r="Q9" s="29">
        <v>2</v>
      </c>
      <c r="R9" s="29">
        <v>2</v>
      </c>
      <c r="S9" s="29">
        <v>1.87</v>
      </c>
      <c r="T9" s="29">
        <v>4.32</v>
      </c>
      <c r="U9" s="29">
        <v>0.25</v>
      </c>
      <c r="V9" s="29">
        <v>2</v>
      </c>
      <c r="W9" s="30">
        <f>SUM(O9:V9)</f>
        <v>16.440000000000001</v>
      </c>
      <c r="X9" s="29">
        <v>4</v>
      </c>
      <c r="Y9" s="29">
        <v>5.93</v>
      </c>
      <c r="Z9" s="29">
        <v>3.375</v>
      </c>
      <c r="AA9" s="29">
        <v>3.78</v>
      </c>
      <c r="AB9" s="29">
        <v>1</v>
      </c>
      <c r="AC9" s="29">
        <v>0</v>
      </c>
      <c r="AD9" s="29">
        <v>4.17</v>
      </c>
      <c r="AE9" s="29">
        <v>4.024</v>
      </c>
      <c r="AF9" s="29">
        <v>2.75</v>
      </c>
      <c r="AG9" s="30">
        <f>SUM(X9:AF9)</f>
        <v>29.029000000000003</v>
      </c>
      <c r="AH9" s="31">
        <f>N9+W9+AG9</f>
        <v>66.369</v>
      </c>
      <c r="AI9" s="32">
        <v>5</v>
      </c>
      <c r="AJ9" s="32">
        <v>5</v>
      </c>
      <c r="AK9" s="29">
        <v>5</v>
      </c>
      <c r="AL9" s="29">
        <v>5</v>
      </c>
      <c r="AM9" s="29">
        <v>5</v>
      </c>
      <c r="AN9" s="29">
        <v>10</v>
      </c>
      <c r="AO9" s="29">
        <v>9.4599999999999991</v>
      </c>
      <c r="AP9" s="29">
        <v>10</v>
      </c>
      <c r="AQ9" s="29">
        <v>10</v>
      </c>
      <c r="AR9" s="29">
        <v>7.5</v>
      </c>
      <c r="AS9" s="29">
        <v>5.7001183333333332</v>
      </c>
      <c r="AT9" s="29">
        <v>3</v>
      </c>
      <c r="AU9" s="29">
        <v>2</v>
      </c>
      <c r="AV9" s="43">
        <f t="shared" si="4"/>
        <v>82.660118333333344</v>
      </c>
      <c r="AW9" s="44">
        <v>80</v>
      </c>
      <c r="AX9" s="45">
        <f t="shared" si="0"/>
        <v>291.02911833333337</v>
      </c>
      <c r="AY9" s="45">
        <f t="shared" si="5"/>
        <v>72.1825355</v>
      </c>
    </row>
    <row r="10" spans="1:51" s="28" customFormat="1" ht="11.5" x14ac:dyDescent="0.35">
      <c r="A10" s="26">
        <v>2</v>
      </c>
      <c r="B10" s="27"/>
      <c r="C10" s="27"/>
      <c r="D10" s="42">
        <f>33*2</f>
        <v>66</v>
      </c>
      <c r="E10" s="29">
        <v>2</v>
      </c>
      <c r="F10" s="29">
        <v>1</v>
      </c>
      <c r="G10" s="29">
        <v>1.5</v>
      </c>
      <c r="H10" s="29">
        <v>1</v>
      </c>
      <c r="I10" s="29">
        <v>0.5</v>
      </c>
      <c r="J10" s="29">
        <v>1.6</v>
      </c>
      <c r="K10" s="29">
        <v>1.6</v>
      </c>
      <c r="L10" s="29">
        <v>1.4</v>
      </c>
      <c r="M10" s="29">
        <v>5</v>
      </c>
      <c r="N10" s="30">
        <f t="shared" si="1"/>
        <v>15.6</v>
      </c>
      <c r="O10" s="29">
        <v>2</v>
      </c>
      <c r="P10" s="29">
        <v>1.78</v>
      </c>
      <c r="Q10" s="29">
        <v>1.1200000000000001</v>
      </c>
      <c r="R10" s="29">
        <v>1.87</v>
      </c>
      <c r="S10" s="29">
        <v>1.87</v>
      </c>
      <c r="T10" s="29">
        <v>4.32</v>
      </c>
      <c r="U10" s="29">
        <v>1.7</v>
      </c>
      <c r="V10" s="29">
        <v>2</v>
      </c>
      <c r="W10" s="30">
        <f t="shared" ref="W10:W23" si="6">SUM(O10:V10)</f>
        <v>16.66</v>
      </c>
      <c r="X10" s="29">
        <v>4.5</v>
      </c>
      <c r="Y10" s="29">
        <v>6.03</v>
      </c>
      <c r="Z10" s="29">
        <v>3.5</v>
      </c>
      <c r="AA10" s="29">
        <v>3.29</v>
      </c>
      <c r="AB10" s="29">
        <v>1</v>
      </c>
      <c r="AC10" s="29">
        <v>0.7</v>
      </c>
      <c r="AD10" s="29">
        <v>4</v>
      </c>
      <c r="AE10" s="29">
        <v>3.41</v>
      </c>
      <c r="AF10" s="29">
        <v>3</v>
      </c>
      <c r="AG10" s="30">
        <f t="shared" ref="AG10:AG21" si="7">SUM(X10:AF10)</f>
        <v>29.43</v>
      </c>
      <c r="AH10" s="31">
        <f t="shared" ref="AH10:AH21" si="8">N10+W10+AG10</f>
        <v>61.69</v>
      </c>
      <c r="AI10" s="32">
        <v>5</v>
      </c>
      <c r="AJ10" s="32">
        <v>5</v>
      </c>
      <c r="AK10" s="29">
        <v>5</v>
      </c>
      <c r="AL10" s="29">
        <v>5</v>
      </c>
      <c r="AM10" s="29">
        <v>5</v>
      </c>
      <c r="AN10" s="29">
        <v>10</v>
      </c>
      <c r="AO10" s="29">
        <v>8.2608695652173907</v>
      </c>
      <c r="AP10" s="29">
        <v>10</v>
      </c>
      <c r="AQ10" s="29">
        <v>10</v>
      </c>
      <c r="AR10" s="29">
        <v>0.5</v>
      </c>
      <c r="AS10" s="29">
        <v>7.0227330595482549</v>
      </c>
      <c r="AT10" s="29">
        <v>3</v>
      </c>
      <c r="AU10" s="29">
        <v>2</v>
      </c>
      <c r="AV10" s="43">
        <f t="shared" si="4"/>
        <v>75.783602624765649</v>
      </c>
      <c r="AW10" s="44">
        <v>80</v>
      </c>
      <c r="AX10" s="45">
        <f t="shared" si="0"/>
        <v>283.47360262476565</v>
      </c>
      <c r="AY10" s="45">
        <f t="shared" si="5"/>
        <v>68.180080787429688</v>
      </c>
    </row>
    <row r="11" spans="1:51" s="28" customFormat="1" ht="11.5" x14ac:dyDescent="0.35">
      <c r="A11" s="26">
        <v>3</v>
      </c>
      <c r="B11" s="27"/>
      <c r="C11" s="27"/>
      <c r="D11" s="42">
        <f>35*2</f>
        <v>70</v>
      </c>
      <c r="E11" s="29">
        <v>2</v>
      </c>
      <c r="F11" s="29">
        <v>1</v>
      </c>
      <c r="G11" s="29">
        <v>2.5</v>
      </c>
      <c r="H11" s="29">
        <v>1</v>
      </c>
      <c r="I11" s="29">
        <v>3.5</v>
      </c>
      <c r="J11" s="29">
        <v>1.8</v>
      </c>
      <c r="K11" s="29">
        <v>1.8</v>
      </c>
      <c r="L11" s="29">
        <v>1.4</v>
      </c>
      <c r="M11" s="29">
        <v>5</v>
      </c>
      <c r="N11" s="30">
        <f t="shared" si="1"/>
        <v>20</v>
      </c>
      <c r="O11" s="29">
        <v>2</v>
      </c>
      <c r="P11" s="29">
        <v>2</v>
      </c>
      <c r="Q11" s="29">
        <v>2</v>
      </c>
      <c r="R11" s="29">
        <v>2</v>
      </c>
      <c r="S11" s="29">
        <v>1.87</v>
      </c>
      <c r="T11" s="29">
        <v>2.88</v>
      </c>
      <c r="U11" s="29">
        <v>0</v>
      </c>
      <c r="V11" s="29">
        <v>2</v>
      </c>
      <c r="W11" s="30">
        <f t="shared" si="6"/>
        <v>14.75</v>
      </c>
      <c r="X11" s="29">
        <v>4.5</v>
      </c>
      <c r="Y11" s="29">
        <v>5.83</v>
      </c>
      <c r="Z11" s="29">
        <v>0</v>
      </c>
      <c r="AA11" s="29">
        <v>2.56</v>
      </c>
      <c r="AB11" s="29">
        <v>1</v>
      </c>
      <c r="AC11" s="29">
        <v>0</v>
      </c>
      <c r="AD11" s="29">
        <v>0</v>
      </c>
      <c r="AE11" s="29">
        <v>0</v>
      </c>
      <c r="AF11" s="29">
        <v>2</v>
      </c>
      <c r="AG11" s="30">
        <f t="shared" si="7"/>
        <v>15.89</v>
      </c>
      <c r="AH11" s="31">
        <f t="shared" si="8"/>
        <v>50.64</v>
      </c>
      <c r="AI11" s="32">
        <v>5</v>
      </c>
      <c r="AJ11" s="32">
        <v>5</v>
      </c>
      <c r="AK11" s="29">
        <v>5</v>
      </c>
      <c r="AL11" s="29">
        <v>5</v>
      </c>
      <c r="AM11" s="29">
        <v>5</v>
      </c>
      <c r="AN11" s="29">
        <v>10</v>
      </c>
      <c r="AO11" s="29">
        <v>8.6</v>
      </c>
      <c r="AP11" s="29">
        <v>10</v>
      </c>
      <c r="AQ11" s="29">
        <v>10</v>
      </c>
      <c r="AR11" s="29">
        <v>0.5</v>
      </c>
      <c r="AS11" s="29">
        <v>2</v>
      </c>
      <c r="AT11" s="29">
        <v>3</v>
      </c>
      <c r="AU11" s="29">
        <v>2</v>
      </c>
      <c r="AV11" s="43">
        <f t="shared" si="4"/>
        <v>71.099999999999994</v>
      </c>
      <c r="AW11" s="44">
        <v>75</v>
      </c>
      <c r="AX11" s="45">
        <f t="shared" si="0"/>
        <v>266.74</v>
      </c>
      <c r="AY11" s="45">
        <f t="shared" si="5"/>
        <v>61.15</v>
      </c>
    </row>
    <row r="12" spans="1:51" s="28" customFormat="1" ht="11.5" x14ac:dyDescent="0.35">
      <c r="A12" s="26">
        <v>4</v>
      </c>
      <c r="B12" s="27"/>
      <c r="C12" s="27"/>
      <c r="D12" s="42">
        <f>32*2</f>
        <v>64</v>
      </c>
      <c r="E12" s="29">
        <v>3</v>
      </c>
      <c r="F12" s="29">
        <v>2</v>
      </c>
      <c r="G12" s="29">
        <v>2</v>
      </c>
      <c r="H12" s="29">
        <v>4</v>
      </c>
      <c r="I12" s="29">
        <v>4</v>
      </c>
      <c r="J12" s="29">
        <v>2.1</v>
      </c>
      <c r="K12" s="29">
        <v>2</v>
      </c>
      <c r="L12" s="29">
        <v>1.5</v>
      </c>
      <c r="M12" s="29">
        <v>5</v>
      </c>
      <c r="N12" s="30">
        <f t="shared" si="1"/>
        <v>25.6</v>
      </c>
      <c r="O12" s="29">
        <v>2</v>
      </c>
      <c r="P12" s="29">
        <v>2</v>
      </c>
      <c r="Q12" s="29">
        <v>2</v>
      </c>
      <c r="R12" s="29">
        <v>2</v>
      </c>
      <c r="S12" s="29">
        <v>1.56</v>
      </c>
      <c r="T12" s="29">
        <v>4.6399999999999997</v>
      </c>
      <c r="U12" s="29">
        <v>1.5</v>
      </c>
      <c r="V12" s="29">
        <v>2</v>
      </c>
      <c r="W12" s="30">
        <f t="shared" si="6"/>
        <v>17.7</v>
      </c>
      <c r="X12" s="29">
        <v>4.5</v>
      </c>
      <c r="Y12" s="29">
        <v>6.3</v>
      </c>
      <c r="Z12" s="29">
        <v>2.875</v>
      </c>
      <c r="AA12" s="29">
        <v>3.5</v>
      </c>
      <c r="AB12" s="29">
        <v>1</v>
      </c>
      <c r="AC12" s="29">
        <v>1.2</v>
      </c>
      <c r="AD12" s="29">
        <v>4</v>
      </c>
      <c r="AE12" s="29">
        <v>4.2699999999999996</v>
      </c>
      <c r="AF12" s="29">
        <v>2</v>
      </c>
      <c r="AG12" s="30">
        <f t="shared" si="7"/>
        <v>29.645</v>
      </c>
      <c r="AH12" s="31">
        <f t="shared" si="8"/>
        <v>72.944999999999993</v>
      </c>
      <c r="AI12" s="32">
        <v>5</v>
      </c>
      <c r="AJ12" s="32">
        <v>5</v>
      </c>
      <c r="AK12" s="29">
        <v>5</v>
      </c>
      <c r="AL12" s="29">
        <v>5</v>
      </c>
      <c r="AM12" s="29">
        <v>5</v>
      </c>
      <c r="AN12" s="29">
        <v>10</v>
      </c>
      <c r="AO12" s="29">
        <v>8.17</v>
      </c>
      <c r="AP12" s="29">
        <v>10</v>
      </c>
      <c r="AQ12" s="29">
        <v>10</v>
      </c>
      <c r="AR12" s="29">
        <v>5</v>
      </c>
      <c r="AS12" s="29">
        <v>7.7879252047273715</v>
      </c>
      <c r="AT12" s="29">
        <v>5</v>
      </c>
      <c r="AU12" s="29">
        <v>2</v>
      </c>
      <c r="AV12" s="43">
        <f t="shared" si="4"/>
        <v>82.957925204727374</v>
      </c>
      <c r="AW12" s="44">
        <v>85</v>
      </c>
      <c r="AX12" s="45">
        <f t="shared" si="0"/>
        <v>304.90292520472735</v>
      </c>
      <c r="AY12" s="45">
        <f t="shared" si="5"/>
        <v>76.259877561418207</v>
      </c>
    </row>
    <row r="13" spans="1:51" s="28" customFormat="1" ht="11.5" x14ac:dyDescent="0.35">
      <c r="A13" s="26">
        <v>5</v>
      </c>
      <c r="B13" s="27"/>
      <c r="C13" s="27"/>
      <c r="D13" s="42">
        <f>27*2</f>
        <v>54</v>
      </c>
      <c r="E13" s="29">
        <v>2</v>
      </c>
      <c r="F13" s="29">
        <v>1</v>
      </c>
      <c r="G13" s="29">
        <v>0.5</v>
      </c>
      <c r="H13" s="29">
        <v>1</v>
      </c>
      <c r="I13" s="29">
        <v>0.5</v>
      </c>
      <c r="J13" s="29">
        <v>2</v>
      </c>
      <c r="K13" s="29">
        <v>1.2</v>
      </c>
      <c r="L13" s="29">
        <v>1</v>
      </c>
      <c r="M13" s="29">
        <v>5</v>
      </c>
      <c r="N13" s="30">
        <f t="shared" si="1"/>
        <v>14.2</v>
      </c>
      <c r="O13" s="29">
        <v>2</v>
      </c>
      <c r="P13" s="29">
        <v>2</v>
      </c>
      <c r="Q13" s="29">
        <v>2</v>
      </c>
      <c r="R13" s="29">
        <v>2</v>
      </c>
      <c r="S13" s="29">
        <v>1.87</v>
      </c>
      <c r="T13" s="29">
        <v>2.88</v>
      </c>
      <c r="U13" s="29">
        <v>0</v>
      </c>
      <c r="V13" s="29">
        <v>2</v>
      </c>
      <c r="W13" s="30">
        <f t="shared" si="6"/>
        <v>14.75</v>
      </c>
      <c r="X13" s="29">
        <v>3.5</v>
      </c>
      <c r="Y13" s="29">
        <v>4.8600000000000003</v>
      </c>
      <c r="Z13" s="29">
        <v>1</v>
      </c>
      <c r="AA13" s="29">
        <v>3.17</v>
      </c>
      <c r="AB13" s="29">
        <v>1</v>
      </c>
      <c r="AC13" s="29">
        <v>0</v>
      </c>
      <c r="AD13" s="29">
        <v>0.83</v>
      </c>
      <c r="AE13" s="29">
        <v>2.8</v>
      </c>
      <c r="AF13" s="29">
        <v>3</v>
      </c>
      <c r="AG13" s="30">
        <f t="shared" si="7"/>
        <v>20.16</v>
      </c>
      <c r="AH13" s="31">
        <f t="shared" si="8"/>
        <v>49.11</v>
      </c>
      <c r="AI13" s="32">
        <v>5</v>
      </c>
      <c r="AJ13" s="32">
        <v>5</v>
      </c>
      <c r="AK13" s="29">
        <v>5</v>
      </c>
      <c r="AL13" s="29">
        <v>5</v>
      </c>
      <c r="AM13" s="29">
        <v>5</v>
      </c>
      <c r="AN13" s="29">
        <v>9.1849999999999987</v>
      </c>
      <c r="AO13" s="29">
        <v>3.44</v>
      </c>
      <c r="AP13" s="29">
        <v>10</v>
      </c>
      <c r="AQ13" s="29">
        <v>10</v>
      </c>
      <c r="AR13" s="29">
        <v>3</v>
      </c>
      <c r="AS13" s="29">
        <v>5.513853785073886</v>
      </c>
      <c r="AT13" s="29">
        <v>3</v>
      </c>
      <c r="AU13" s="29">
        <v>2</v>
      </c>
      <c r="AV13" s="43">
        <f t="shared" si="4"/>
        <v>71.138853785073891</v>
      </c>
      <c r="AW13" s="44">
        <v>65</v>
      </c>
      <c r="AX13" s="45">
        <f t="shared" si="0"/>
        <v>239.24885378507389</v>
      </c>
      <c r="AY13" s="45">
        <f t="shared" si="5"/>
        <v>57.79665613552217</v>
      </c>
    </row>
    <row r="14" spans="1:51" s="28" customFormat="1" ht="11.5" x14ac:dyDescent="0.35">
      <c r="A14" s="26">
        <v>6</v>
      </c>
      <c r="B14" s="27"/>
      <c r="C14" s="27"/>
      <c r="D14" s="42">
        <f>37*2</f>
        <v>74</v>
      </c>
      <c r="E14" s="29">
        <v>2.25</v>
      </c>
      <c r="F14" s="29">
        <v>1</v>
      </c>
      <c r="G14" s="29">
        <v>4</v>
      </c>
      <c r="H14" s="29">
        <v>4</v>
      </c>
      <c r="I14" s="29">
        <v>3.5</v>
      </c>
      <c r="J14" s="29">
        <v>2.4</v>
      </c>
      <c r="K14" s="29">
        <v>1.9</v>
      </c>
      <c r="L14" s="29">
        <v>1.7</v>
      </c>
      <c r="M14" s="29">
        <v>5</v>
      </c>
      <c r="N14" s="30">
        <f t="shared" si="1"/>
        <v>25.749999999999996</v>
      </c>
      <c r="O14" s="29">
        <v>2</v>
      </c>
      <c r="P14" s="29">
        <v>2</v>
      </c>
      <c r="Q14" s="29">
        <v>2</v>
      </c>
      <c r="R14" s="29">
        <v>2</v>
      </c>
      <c r="S14" s="29">
        <v>1.65</v>
      </c>
      <c r="T14" s="29">
        <v>4.72</v>
      </c>
      <c r="U14" s="29">
        <v>1.2</v>
      </c>
      <c r="V14" s="29">
        <v>2</v>
      </c>
      <c r="W14" s="30">
        <f t="shared" si="6"/>
        <v>17.57</v>
      </c>
      <c r="X14" s="29">
        <v>3</v>
      </c>
      <c r="Y14" s="29">
        <v>6.13</v>
      </c>
      <c r="Z14" s="29">
        <v>4.125</v>
      </c>
      <c r="AA14" s="29">
        <v>3.17</v>
      </c>
      <c r="AB14" s="29">
        <v>1</v>
      </c>
      <c r="AC14" s="29">
        <v>0</v>
      </c>
      <c r="AD14" s="29">
        <v>3.67</v>
      </c>
      <c r="AE14" s="29">
        <v>3.66</v>
      </c>
      <c r="AF14" s="29">
        <v>3</v>
      </c>
      <c r="AG14" s="30">
        <f t="shared" si="7"/>
        <v>27.754999999999999</v>
      </c>
      <c r="AH14" s="31">
        <f t="shared" si="8"/>
        <v>71.074999999999989</v>
      </c>
      <c r="AI14" s="32">
        <v>5</v>
      </c>
      <c r="AJ14" s="32">
        <v>5</v>
      </c>
      <c r="AK14" s="29">
        <v>5</v>
      </c>
      <c r="AL14" s="29">
        <v>5</v>
      </c>
      <c r="AM14" s="29">
        <v>5</v>
      </c>
      <c r="AN14" s="29">
        <v>10</v>
      </c>
      <c r="AO14" s="29">
        <v>9.4599999999999991</v>
      </c>
      <c r="AP14" s="29">
        <v>10</v>
      </c>
      <c r="AQ14" s="29">
        <v>10</v>
      </c>
      <c r="AR14" s="29">
        <v>3</v>
      </c>
      <c r="AS14" s="29">
        <v>8.9031638516473954</v>
      </c>
      <c r="AT14" s="29">
        <v>5</v>
      </c>
      <c r="AU14" s="29">
        <v>2</v>
      </c>
      <c r="AV14" s="43">
        <f t="shared" si="4"/>
        <v>83.3631638516474</v>
      </c>
      <c r="AW14" s="44">
        <v>75</v>
      </c>
      <c r="AX14" s="45">
        <f t="shared" si="0"/>
        <v>303.4381638516474</v>
      </c>
      <c r="AY14" s="45">
        <f t="shared" si="5"/>
        <v>75.446449155494207</v>
      </c>
    </row>
    <row r="15" spans="1:51" s="28" customFormat="1" ht="11.5" x14ac:dyDescent="0.35">
      <c r="A15" s="26">
        <v>7</v>
      </c>
      <c r="B15" s="27"/>
      <c r="C15" s="27"/>
      <c r="D15" s="42">
        <f>35*2</f>
        <v>70</v>
      </c>
      <c r="E15" s="29">
        <v>3</v>
      </c>
      <c r="F15" s="29">
        <v>1</v>
      </c>
      <c r="G15" s="29">
        <v>5.5</v>
      </c>
      <c r="H15" s="29">
        <v>5</v>
      </c>
      <c r="I15" s="29">
        <v>3.5</v>
      </c>
      <c r="J15" s="29">
        <v>2.7</v>
      </c>
      <c r="K15" s="29">
        <v>2</v>
      </c>
      <c r="L15" s="29">
        <v>1.1000000000000001</v>
      </c>
      <c r="M15" s="29">
        <v>5</v>
      </c>
      <c r="N15" s="30">
        <f t="shared" si="1"/>
        <v>28.8</v>
      </c>
      <c r="O15" s="29">
        <v>2</v>
      </c>
      <c r="P15" s="29">
        <v>2</v>
      </c>
      <c r="Q15" s="29">
        <v>2</v>
      </c>
      <c r="R15" s="29">
        <v>2</v>
      </c>
      <c r="S15" s="29">
        <v>1.87</v>
      </c>
      <c r="T15" s="29">
        <v>4.72</v>
      </c>
      <c r="U15" s="29">
        <v>1.92</v>
      </c>
      <c r="V15" s="29">
        <v>2</v>
      </c>
      <c r="W15" s="30">
        <f t="shared" si="6"/>
        <v>18.509999999999998</v>
      </c>
      <c r="X15" s="29">
        <v>4.5</v>
      </c>
      <c r="Y15" s="29">
        <v>5.93</v>
      </c>
      <c r="Z15" s="29">
        <v>3.125</v>
      </c>
      <c r="AA15" s="29">
        <v>3.54</v>
      </c>
      <c r="AB15" s="29">
        <v>1</v>
      </c>
      <c r="AC15" s="29">
        <v>1.2</v>
      </c>
      <c r="AD15" s="29">
        <v>3</v>
      </c>
      <c r="AE15" s="29">
        <v>4.45</v>
      </c>
      <c r="AF15" s="29">
        <v>3</v>
      </c>
      <c r="AG15" s="30">
        <f t="shared" si="7"/>
        <v>29.744999999999997</v>
      </c>
      <c r="AH15" s="31">
        <f t="shared" si="8"/>
        <v>77.055000000000007</v>
      </c>
      <c r="AI15" s="32">
        <v>5</v>
      </c>
      <c r="AJ15" s="32">
        <v>5</v>
      </c>
      <c r="AK15" s="29">
        <v>5</v>
      </c>
      <c r="AL15" s="29">
        <v>5</v>
      </c>
      <c r="AM15" s="29">
        <v>5</v>
      </c>
      <c r="AN15" s="29">
        <v>10</v>
      </c>
      <c r="AO15" s="29">
        <v>8.6</v>
      </c>
      <c r="AP15" s="29">
        <v>10</v>
      </c>
      <c r="AQ15" s="29">
        <v>10</v>
      </c>
      <c r="AR15" s="29">
        <v>6</v>
      </c>
      <c r="AS15" s="29">
        <v>14.881079807744253</v>
      </c>
      <c r="AT15" s="29">
        <v>5</v>
      </c>
      <c r="AU15" s="29">
        <v>5</v>
      </c>
      <c r="AV15" s="43">
        <f t="shared" si="4"/>
        <v>94.481079807744251</v>
      </c>
      <c r="AW15" s="44">
        <v>80</v>
      </c>
      <c r="AX15" s="45">
        <f t="shared" si="0"/>
        <v>321.53607980774427</v>
      </c>
      <c r="AY15" s="45">
        <f t="shared" si="5"/>
        <v>81.871823942323275</v>
      </c>
    </row>
    <row r="16" spans="1:51" s="28" customFormat="1" ht="11.5" x14ac:dyDescent="0.35">
      <c r="A16" s="26">
        <v>8</v>
      </c>
      <c r="B16" s="27"/>
      <c r="C16" s="27"/>
      <c r="D16" s="42">
        <f>37*2</f>
        <v>74</v>
      </c>
      <c r="E16" s="29">
        <v>3</v>
      </c>
      <c r="F16" s="29">
        <v>2.25</v>
      </c>
      <c r="G16" s="29">
        <v>5.5</v>
      </c>
      <c r="H16" s="29">
        <v>6</v>
      </c>
      <c r="I16" s="29">
        <v>4</v>
      </c>
      <c r="J16" s="29">
        <v>2.8</v>
      </c>
      <c r="K16" s="29">
        <v>1.9</v>
      </c>
      <c r="L16" s="29">
        <v>1.9</v>
      </c>
      <c r="M16" s="29">
        <v>5</v>
      </c>
      <c r="N16" s="30">
        <f t="shared" si="1"/>
        <v>32.349999999999994</v>
      </c>
      <c r="O16" s="29">
        <v>2</v>
      </c>
      <c r="P16" s="29">
        <v>2</v>
      </c>
      <c r="Q16" s="29">
        <v>2</v>
      </c>
      <c r="R16" s="29">
        <v>2</v>
      </c>
      <c r="S16" s="29">
        <v>1.78</v>
      </c>
      <c r="T16" s="29">
        <v>4.32</v>
      </c>
      <c r="U16" s="29">
        <v>1.56</v>
      </c>
      <c r="V16" s="29">
        <v>2</v>
      </c>
      <c r="W16" s="30">
        <f t="shared" si="6"/>
        <v>17.66</v>
      </c>
      <c r="X16" s="29">
        <v>4.5</v>
      </c>
      <c r="Y16" s="29">
        <v>6.13</v>
      </c>
      <c r="Z16" s="29">
        <v>3.875</v>
      </c>
      <c r="AA16" s="29">
        <v>3.29</v>
      </c>
      <c r="AB16" s="29">
        <v>1</v>
      </c>
      <c r="AC16" s="29">
        <v>1.2</v>
      </c>
      <c r="AD16" s="29">
        <v>3.83</v>
      </c>
      <c r="AE16" s="29">
        <v>4.1500000000000004</v>
      </c>
      <c r="AF16" s="29">
        <v>3</v>
      </c>
      <c r="AG16" s="30">
        <f t="shared" si="7"/>
        <v>30.974999999999994</v>
      </c>
      <c r="AH16" s="31">
        <f t="shared" si="8"/>
        <v>80.984999999999985</v>
      </c>
      <c r="AI16" s="32">
        <v>5</v>
      </c>
      <c r="AJ16" s="32">
        <v>5</v>
      </c>
      <c r="AK16" s="29">
        <v>5</v>
      </c>
      <c r="AL16" s="29">
        <v>5</v>
      </c>
      <c r="AM16" s="29">
        <v>5</v>
      </c>
      <c r="AN16" s="29">
        <v>9.1849999999999987</v>
      </c>
      <c r="AO16" s="29">
        <v>9.89</v>
      </c>
      <c r="AP16" s="29">
        <v>10</v>
      </c>
      <c r="AQ16" s="29">
        <v>10</v>
      </c>
      <c r="AR16" s="29">
        <v>7.5</v>
      </c>
      <c r="AS16" s="29">
        <v>14.978084943178722</v>
      </c>
      <c r="AT16" s="29">
        <v>5</v>
      </c>
      <c r="AU16" s="29">
        <v>5</v>
      </c>
      <c r="AV16" s="43">
        <f t="shared" si="4"/>
        <v>96.553084943178732</v>
      </c>
      <c r="AW16" s="44">
        <v>80</v>
      </c>
      <c r="AX16" s="45">
        <f t="shared" si="0"/>
        <v>331.53808494317872</v>
      </c>
      <c r="AY16" s="45">
        <f t="shared" si="5"/>
        <v>84.858425482953606</v>
      </c>
    </row>
    <row r="17" spans="1:51" s="28" customFormat="1" ht="11.5" x14ac:dyDescent="0.35">
      <c r="A17" s="26">
        <v>9</v>
      </c>
      <c r="B17" s="27"/>
      <c r="C17" s="27"/>
      <c r="D17" s="42">
        <f>44*2</f>
        <v>88</v>
      </c>
      <c r="E17" s="29">
        <v>3</v>
      </c>
      <c r="F17" s="29">
        <v>2</v>
      </c>
      <c r="G17" s="29">
        <v>6.5</v>
      </c>
      <c r="H17" s="29">
        <v>7</v>
      </c>
      <c r="I17" s="29">
        <v>4</v>
      </c>
      <c r="J17" s="29">
        <v>2.4500000000000002</v>
      </c>
      <c r="K17" s="29">
        <v>1.9</v>
      </c>
      <c r="L17" s="29">
        <v>1.8</v>
      </c>
      <c r="M17" s="29">
        <v>5</v>
      </c>
      <c r="N17" s="30">
        <f t="shared" si="1"/>
        <v>33.65</v>
      </c>
      <c r="O17" s="29">
        <v>2</v>
      </c>
      <c r="P17" s="29">
        <v>1.54</v>
      </c>
      <c r="Q17" s="29">
        <v>2</v>
      </c>
      <c r="R17" s="29">
        <v>1.82</v>
      </c>
      <c r="S17" s="29">
        <v>1.93</v>
      </c>
      <c r="T17" s="29">
        <v>4.8</v>
      </c>
      <c r="U17" s="29">
        <v>1.3</v>
      </c>
      <c r="V17" s="29">
        <v>2</v>
      </c>
      <c r="W17" s="30">
        <f t="shared" si="6"/>
        <v>17.39</v>
      </c>
      <c r="X17" s="29">
        <v>5</v>
      </c>
      <c r="Y17" s="29">
        <v>6.42</v>
      </c>
      <c r="Z17" s="29">
        <v>4.63</v>
      </c>
      <c r="AA17" s="29">
        <v>3.59</v>
      </c>
      <c r="AB17" s="29">
        <v>1</v>
      </c>
      <c r="AC17" s="29">
        <v>0</v>
      </c>
      <c r="AD17" s="29">
        <v>4.3</v>
      </c>
      <c r="AE17" s="29">
        <v>4.76</v>
      </c>
      <c r="AF17" s="29">
        <v>2.75</v>
      </c>
      <c r="AG17" s="30">
        <f t="shared" si="7"/>
        <v>32.450000000000003</v>
      </c>
      <c r="AH17" s="31">
        <f t="shared" si="8"/>
        <v>83.490000000000009</v>
      </c>
      <c r="AI17" s="32">
        <v>5</v>
      </c>
      <c r="AJ17" s="32">
        <v>5</v>
      </c>
      <c r="AK17" s="29">
        <v>5</v>
      </c>
      <c r="AL17" s="29">
        <v>5</v>
      </c>
      <c r="AM17" s="29">
        <v>5</v>
      </c>
      <c r="AN17" s="29">
        <v>10</v>
      </c>
      <c r="AO17" s="29">
        <v>9.89</v>
      </c>
      <c r="AP17" s="29">
        <v>10</v>
      </c>
      <c r="AQ17" s="29">
        <v>10</v>
      </c>
      <c r="AR17" s="29">
        <v>7</v>
      </c>
      <c r="AS17" s="29">
        <v>14.977696166730594</v>
      </c>
      <c r="AT17" s="29">
        <v>3</v>
      </c>
      <c r="AU17" s="29">
        <v>5</v>
      </c>
      <c r="AV17" s="43">
        <f t="shared" si="4"/>
        <v>94.867696166730596</v>
      </c>
      <c r="AW17" s="44">
        <v>90</v>
      </c>
      <c r="AX17" s="45">
        <f t="shared" si="0"/>
        <v>356.35769616673059</v>
      </c>
      <c r="AY17" s="45">
        <f t="shared" si="5"/>
        <v>88.005308850019176</v>
      </c>
    </row>
    <row r="18" spans="1:51" s="28" customFormat="1" ht="11.5" x14ac:dyDescent="0.35">
      <c r="A18" s="26">
        <v>10</v>
      </c>
      <c r="B18" s="27"/>
      <c r="C18" s="27"/>
      <c r="D18" s="42">
        <f>37*2</f>
        <v>74</v>
      </c>
      <c r="E18" s="29">
        <v>3</v>
      </c>
      <c r="F18" s="29">
        <v>1</v>
      </c>
      <c r="G18" s="29">
        <v>5</v>
      </c>
      <c r="H18" s="29">
        <v>4</v>
      </c>
      <c r="I18" s="29">
        <v>4</v>
      </c>
      <c r="J18" s="29">
        <v>2.1</v>
      </c>
      <c r="K18" s="29">
        <v>1.8</v>
      </c>
      <c r="L18" s="29">
        <v>1.4</v>
      </c>
      <c r="M18" s="29">
        <v>5</v>
      </c>
      <c r="N18" s="30">
        <f t="shared" si="1"/>
        <v>27.3</v>
      </c>
      <c r="O18" s="29">
        <v>2</v>
      </c>
      <c r="P18" s="29">
        <v>2</v>
      </c>
      <c r="Q18" s="29">
        <v>2</v>
      </c>
      <c r="R18" s="29">
        <v>1.87</v>
      </c>
      <c r="S18" s="29">
        <v>1.87</v>
      </c>
      <c r="T18" s="29">
        <v>5.12</v>
      </c>
      <c r="U18" s="29">
        <v>1.5</v>
      </c>
      <c r="V18" s="29">
        <v>2</v>
      </c>
      <c r="W18" s="30">
        <f t="shared" si="6"/>
        <v>18.36</v>
      </c>
      <c r="X18" s="29">
        <v>4.5</v>
      </c>
      <c r="Y18" s="29">
        <v>6.03</v>
      </c>
      <c r="Z18" s="29">
        <v>3.63</v>
      </c>
      <c r="AA18" s="29">
        <v>3.29</v>
      </c>
      <c r="AB18" s="29">
        <v>1</v>
      </c>
      <c r="AC18" s="29">
        <v>1</v>
      </c>
      <c r="AD18" s="29">
        <v>3.67</v>
      </c>
      <c r="AE18" s="29">
        <v>4.51</v>
      </c>
      <c r="AF18" s="29">
        <v>3</v>
      </c>
      <c r="AG18" s="30">
        <f t="shared" si="7"/>
        <v>30.629999999999995</v>
      </c>
      <c r="AH18" s="31">
        <f t="shared" si="8"/>
        <v>76.289999999999992</v>
      </c>
      <c r="AI18" s="32">
        <v>5</v>
      </c>
      <c r="AJ18" s="32">
        <v>5</v>
      </c>
      <c r="AK18" s="29">
        <v>5</v>
      </c>
      <c r="AL18" s="29">
        <v>5</v>
      </c>
      <c r="AM18" s="29">
        <v>5</v>
      </c>
      <c r="AN18" s="29">
        <v>10</v>
      </c>
      <c r="AO18" s="29">
        <v>9.89</v>
      </c>
      <c r="AP18" s="29">
        <v>10</v>
      </c>
      <c r="AQ18" s="29">
        <v>10</v>
      </c>
      <c r="AR18" s="29">
        <v>6</v>
      </c>
      <c r="AS18" s="29">
        <v>14.948692415496476</v>
      </c>
      <c r="AT18" s="29">
        <v>3</v>
      </c>
      <c r="AU18" s="29">
        <v>5</v>
      </c>
      <c r="AV18" s="43">
        <f t="shared" si="4"/>
        <v>93.838692415496482</v>
      </c>
      <c r="AW18" s="44">
        <v>70</v>
      </c>
      <c r="AX18" s="45">
        <f t="shared" si="0"/>
        <v>314.12869241549646</v>
      </c>
      <c r="AY18" s="45">
        <f t="shared" si="5"/>
        <v>80.696607724648942</v>
      </c>
    </row>
    <row r="19" spans="1:51" s="28" customFormat="1" ht="11.5" x14ac:dyDescent="0.35">
      <c r="A19" s="26">
        <v>11</v>
      </c>
      <c r="B19" s="27"/>
      <c r="C19" s="27"/>
      <c r="D19" s="42">
        <f>40*2</f>
        <v>80</v>
      </c>
      <c r="E19" s="29">
        <v>3</v>
      </c>
      <c r="F19" s="29">
        <v>0</v>
      </c>
      <c r="G19" s="29">
        <v>5.5</v>
      </c>
      <c r="H19" s="29">
        <v>4</v>
      </c>
      <c r="I19" s="29">
        <v>3</v>
      </c>
      <c r="J19" s="29">
        <v>2.5</v>
      </c>
      <c r="K19" s="29">
        <v>0.25</v>
      </c>
      <c r="L19" s="29">
        <v>0.25</v>
      </c>
      <c r="M19" s="29">
        <v>5</v>
      </c>
      <c r="N19" s="30">
        <f t="shared" si="1"/>
        <v>23.5</v>
      </c>
      <c r="O19" s="29">
        <v>2</v>
      </c>
      <c r="P19" s="29">
        <v>2</v>
      </c>
      <c r="Q19" s="29">
        <v>2</v>
      </c>
      <c r="R19" s="29">
        <v>2</v>
      </c>
      <c r="S19" s="29">
        <v>1.87</v>
      </c>
      <c r="T19" s="29">
        <v>5.04</v>
      </c>
      <c r="U19" s="29">
        <v>0</v>
      </c>
      <c r="V19" s="29">
        <v>2</v>
      </c>
      <c r="W19" s="30">
        <f t="shared" si="6"/>
        <v>16.91</v>
      </c>
      <c r="X19" s="29">
        <v>4</v>
      </c>
      <c r="Y19" s="29">
        <v>6.22</v>
      </c>
      <c r="Z19" s="29">
        <v>3.5</v>
      </c>
      <c r="AA19" s="29">
        <v>2.8</v>
      </c>
      <c r="AB19" s="29">
        <v>1</v>
      </c>
      <c r="AC19" s="29">
        <v>0.2</v>
      </c>
      <c r="AD19" s="29">
        <v>3.67</v>
      </c>
      <c r="AE19" s="29">
        <v>4.1500000000000004</v>
      </c>
      <c r="AF19" s="29">
        <v>3</v>
      </c>
      <c r="AG19" s="30">
        <f t="shared" si="7"/>
        <v>28.54</v>
      </c>
      <c r="AH19" s="31">
        <f t="shared" si="8"/>
        <v>68.949999999999989</v>
      </c>
      <c r="AI19" s="32">
        <v>5</v>
      </c>
      <c r="AJ19" s="32">
        <v>5</v>
      </c>
      <c r="AK19" s="29">
        <v>5</v>
      </c>
      <c r="AL19" s="29">
        <v>5</v>
      </c>
      <c r="AM19" s="29">
        <v>5</v>
      </c>
      <c r="AN19" s="29">
        <v>10</v>
      </c>
      <c r="AO19" s="29">
        <v>5.16</v>
      </c>
      <c r="AP19" s="29">
        <v>10</v>
      </c>
      <c r="AQ19" s="29">
        <v>10</v>
      </c>
      <c r="AR19" s="29">
        <v>4</v>
      </c>
      <c r="AS19" s="29">
        <v>3.0394183128278414</v>
      </c>
      <c r="AT19" s="29">
        <v>5</v>
      </c>
      <c r="AU19" s="29">
        <v>2</v>
      </c>
      <c r="AV19" s="43">
        <f t="shared" si="4"/>
        <v>74.199418312827845</v>
      </c>
      <c r="AW19" s="44">
        <v>85</v>
      </c>
      <c r="AX19" s="45">
        <f t="shared" si="0"/>
        <v>308.14941831282783</v>
      </c>
      <c r="AY19" s="45">
        <f t="shared" si="5"/>
        <v>73.234825493848348</v>
      </c>
    </row>
    <row r="20" spans="1:51" s="28" customFormat="1" ht="11.5" x14ac:dyDescent="0.35">
      <c r="A20" s="26">
        <v>12</v>
      </c>
      <c r="B20" s="27"/>
      <c r="C20" s="27"/>
      <c r="D20" s="42">
        <f>38*2</f>
        <v>76</v>
      </c>
      <c r="E20" s="29">
        <v>3</v>
      </c>
      <c r="F20" s="29">
        <v>1</v>
      </c>
      <c r="G20" s="29">
        <v>6</v>
      </c>
      <c r="H20" s="29">
        <v>6</v>
      </c>
      <c r="I20" s="29">
        <v>3.5</v>
      </c>
      <c r="J20" s="29">
        <v>2.75</v>
      </c>
      <c r="K20" s="29">
        <v>1.9</v>
      </c>
      <c r="L20" s="29">
        <v>1.2</v>
      </c>
      <c r="M20" s="29">
        <v>5</v>
      </c>
      <c r="N20" s="30">
        <f t="shared" si="1"/>
        <v>30.349999999999998</v>
      </c>
      <c r="O20" s="29">
        <v>2</v>
      </c>
      <c r="P20" s="29">
        <v>2</v>
      </c>
      <c r="Q20" s="29">
        <v>2</v>
      </c>
      <c r="R20" s="29">
        <v>2</v>
      </c>
      <c r="S20" s="29">
        <v>1.87</v>
      </c>
      <c r="T20" s="29">
        <v>6</v>
      </c>
      <c r="U20" s="29">
        <v>1.5</v>
      </c>
      <c r="V20" s="29">
        <v>2</v>
      </c>
      <c r="W20" s="30">
        <f t="shared" si="6"/>
        <v>19.37</v>
      </c>
      <c r="X20" s="29">
        <v>5</v>
      </c>
      <c r="Y20" s="29">
        <v>6.32</v>
      </c>
      <c r="Z20" s="29">
        <v>3.875</v>
      </c>
      <c r="AA20" s="29">
        <v>3.54</v>
      </c>
      <c r="AB20" s="29">
        <v>1</v>
      </c>
      <c r="AC20" s="29">
        <v>1.5</v>
      </c>
      <c r="AD20" s="29">
        <v>3.83</v>
      </c>
      <c r="AE20" s="29">
        <v>3.66</v>
      </c>
      <c r="AF20" s="29">
        <v>3</v>
      </c>
      <c r="AG20" s="30">
        <f t="shared" si="7"/>
        <v>31.724999999999998</v>
      </c>
      <c r="AH20" s="31">
        <f t="shared" si="8"/>
        <v>81.444999999999993</v>
      </c>
      <c r="AI20" s="32">
        <v>5</v>
      </c>
      <c r="AJ20" s="32">
        <v>5</v>
      </c>
      <c r="AK20" s="29">
        <v>5</v>
      </c>
      <c r="AL20" s="29">
        <v>5</v>
      </c>
      <c r="AM20" s="29">
        <v>5</v>
      </c>
      <c r="AN20" s="29">
        <v>10</v>
      </c>
      <c r="AO20" s="29">
        <v>9.89</v>
      </c>
      <c r="AP20" s="29">
        <v>10</v>
      </c>
      <c r="AQ20" s="29">
        <v>10</v>
      </c>
      <c r="AR20" s="29">
        <v>7</v>
      </c>
      <c r="AS20" s="29">
        <v>15.041886868844994</v>
      </c>
      <c r="AT20" s="29">
        <v>3</v>
      </c>
      <c r="AU20" s="29">
        <v>5</v>
      </c>
      <c r="AV20" s="43">
        <f t="shared" si="4"/>
        <v>94.931886868844998</v>
      </c>
      <c r="AW20" s="44">
        <v>95</v>
      </c>
      <c r="AX20" s="45">
        <f t="shared" si="0"/>
        <v>347.37688686884496</v>
      </c>
      <c r="AY20" s="45">
        <f t="shared" si="5"/>
        <v>86.302066060653502</v>
      </c>
    </row>
    <row r="21" spans="1:51" s="28" customFormat="1" ht="11.5" x14ac:dyDescent="0.35">
      <c r="A21" s="26">
        <v>13</v>
      </c>
      <c r="B21" s="27"/>
      <c r="C21" s="27"/>
      <c r="D21" s="42">
        <f>41*2</f>
        <v>82</v>
      </c>
      <c r="E21" s="29">
        <v>3</v>
      </c>
      <c r="F21" s="29">
        <v>2</v>
      </c>
      <c r="G21" s="29">
        <v>6.5</v>
      </c>
      <c r="H21" s="29">
        <v>6</v>
      </c>
      <c r="I21" s="29">
        <v>2.5</v>
      </c>
      <c r="J21" s="29">
        <v>2.7</v>
      </c>
      <c r="K21" s="29">
        <v>1.5</v>
      </c>
      <c r="L21" s="29">
        <v>1.5</v>
      </c>
      <c r="M21" s="29">
        <v>5</v>
      </c>
      <c r="N21" s="30">
        <f t="shared" si="1"/>
        <v>30.7</v>
      </c>
      <c r="O21" s="29">
        <v>2</v>
      </c>
      <c r="P21" s="29">
        <v>2</v>
      </c>
      <c r="Q21" s="29">
        <v>2</v>
      </c>
      <c r="R21" s="29">
        <v>2</v>
      </c>
      <c r="S21" s="29">
        <v>1.76</v>
      </c>
      <c r="T21" s="29">
        <v>5.12</v>
      </c>
      <c r="U21" s="29">
        <v>0.1</v>
      </c>
      <c r="V21" s="29">
        <v>2</v>
      </c>
      <c r="W21" s="30">
        <f t="shared" si="6"/>
        <v>16.979999999999997</v>
      </c>
      <c r="X21" s="29">
        <v>5</v>
      </c>
      <c r="Y21" s="29">
        <v>6.61</v>
      </c>
      <c r="Z21" s="29">
        <v>3.875</v>
      </c>
      <c r="AA21" s="29">
        <v>3.78</v>
      </c>
      <c r="AB21" s="29">
        <v>1</v>
      </c>
      <c r="AC21" s="29">
        <v>1</v>
      </c>
      <c r="AD21" s="29">
        <v>4</v>
      </c>
      <c r="AE21" s="29">
        <v>1.5</v>
      </c>
      <c r="AF21" s="29">
        <v>3</v>
      </c>
      <c r="AG21" s="30">
        <f t="shared" si="7"/>
        <v>29.765000000000001</v>
      </c>
      <c r="AH21" s="31">
        <f t="shared" si="8"/>
        <v>77.444999999999993</v>
      </c>
      <c r="AI21" s="32">
        <v>5</v>
      </c>
      <c r="AJ21" s="32">
        <v>5</v>
      </c>
      <c r="AK21" s="29">
        <v>5</v>
      </c>
      <c r="AL21" s="29">
        <v>5</v>
      </c>
      <c r="AM21" s="29">
        <v>5</v>
      </c>
      <c r="AN21" s="29">
        <v>10</v>
      </c>
      <c r="AO21" s="29">
        <v>9.89</v>
      </c>
      <c r="AP21" s="29">
        <v>10</v>
      </c>
      <c r="AQ21" s="29">
        <v>10</v>
      </c>
      <c r="AR21" s="29">
        <v>4</v>
      </c>
      <c r="AS21" s="29">
        <v>15.013531338371466</v>
      </c>
      <c r="AT21" s="29">
        <v>3</v>
      </c>
      <c r="AU21" s="29">
        <v>5</v>
      </c>
      <c r="AV21" s="43">
        <f t="shared" si="4"/>
        <v>91.903531338371465</v>
      </c>
      <c r="AW21" s="44">
        <v>75</v>
      </c>
      <c r="AX21" s="45">
        <f t="shared" si="0"/>
        <v>326.34853133837146</v>
      </c>
      <c r="AY21" s="45">
        <f t="shared" si="5"/>
        <v>81.993559401511433</v>
      </c>
    </row>
    <row r="22" spans="1:51" s="28" customFormat="1" ht="11.5" x14ac:dyDescent="0.35">
      <c r="A22" s="26">
        <v>14</v>
      </c>
      <c r="B22" s="27"/>
      <c r="C22" s="27"/>
      <c r="D22" s="42">
        <f>33*2</f>
        <v>66</v>
      </c>
      <c r="E22" s="29">
        <v>2</v>
      </c>
      <c r="F22" s="29">
        <v>2</v>
      </c>
      <c r="G22" s="29">
        <v>4.5</v>
      </c>
      <c r="H22" s="29">
        <v>3</v>
      </c>
      <c r="I22" s="29">
        <v>2.5</v>
      </c>
      <c r="J22" s="29">
        <v>2.2999999999999998</v>
      </c>
      <c r="K22" s="29">
        <v>1.7</v>
      </c>
      <c r="L22" s="29">
        <v>1.8</v>
      </c>
      <c r="M22" s="29">
        <v>5</v>
      </c>
      <c r="N22" s="30">
        <f t="shared" ref="N22:N23" si="9">SUM(E22:M22)</f>
        <v>24.8</v>
      </c>
      <c r="O22" s="29">
        <v>2</v>
      </c>
      <c r="P22" s="29">
        <v>2</v>
      </c>
      <c r="Q22" s="29">
        <v>2</v>
      </c>
      <c r="R22" s="29">
        <v>2</v>
      </c>
      <c r="S22" s="29">
        <v>1.98</v>
      </c>
      <c r="T22" s="29">
        <v>5.36</v>
      </c>
      <c r="U22" s="29">
        <v>0.8</v>
      </c>
      <c r="V22" s="29">
        <v>2</v>
      </c>
      <c r="W22" s="30">
        <f t="shared" si="6"/>
        <v>18.14</v>
      </c>
      <c r="X22" s="29">
        <v>4.5</v>
      </c>
      <c r="Y22" s="29">
        <v>6.03</v>
      </c>
      <c r="Z22" s="29">
        <v>3.625</v>
      </c>
      <c r="AA22" s="29">
        <v>3.17</v>
      </c>
      <c r="AB22" s="29">
        <v>1</v>
      </c>
      <c r="AC22" s="29">
        <v>1.2</v>
      </c>
      <c r="AD22" s="29">
        <v>4.33</v>
      </c>
      <c r="AE22" s="29">
        <v>4.3899999999999997</v>
      </c>
      <c r="AF22" s="29">
        <v>3</v>
      </c>
      <c r="AG22" s="30">
        <f t="shared" ref="AG22:AG23" si="10">SUM(X22:AF22)</f>
        <v>31.245000000000005</v>
      </c>
      <c r="AH22" s="31">
        <f t="shared" ref="AH22:AH23" si="11">N22+W22+AG22</f>
        <v>74.185000000000002</v>
      </c>
      <c r="AI22" s="32">
        <v>5</v>
      </c>
      <c r="AJ22" s="32">
        <v>5</v>
      </c>
      <c r="AK22" s="29">
        <v>5</v>
      </c>
      <c r="AL22" s="29">
        <v>5</v>
      </c>
      <c r="AM22" s="29">
        <v>5</v>
      </c>
      <c r="AN22" s="29">
        <v>10</v>
      </c>
      <c r="AO22" s="29">
        <v>4.7299999999999995</v>
      </c>
      <c r="AP22" s="29">
        <v>10</v>
      </c>
      <c r="AQ22" s="29">
        <v>10</v>
      </c>
      <c r="AR22" s="29">
        <v>5</v>
      </c>
      <c r="AS22" s="29">
        <v>2</v>
      </c>
      <c r="AT22" s="29">
        <v>3</v>
      </c>
      <c r="AU22" s="29">
        <v>2</v>
      </c>
      <c r="AV22" s="43">
        <f t="shared" si="4"/>
        <v>71.72999999999999</v>
      </c>
      <c r="AW22" s="44">
        <v>75</v>
      </c>
      <c r="AX22" s="45">
        <f t="shared" si="0"/>
        <v>286.91499999999996</v>
      </c>
      <c r="AY22" s="45">
        <f t="shared" si="5"/>
        <v>72.711500000000001</v>
      </c>
    </row>
    <row r="23" spans="1:51" s="28" customFormat="1" ht="11.5" x14ac:dyDescent="0.35">
      <c r="A23" s="26">
        <v>15</v>
      </c>
      <c r="B23" s="27"/>
      <c r="C23" s="27"/>
      <c r="D23" s="42">
        <f>28*2</f>
        <v>56</v>
      </c>
      <c r="E23" s="29">
        <v>2</v>
      </c>
      <c r="F23" s="29">
        <v>1</v>
      </c>
      <c r="G23" s="29">
        <v>3</v>
      </c>
      <c r="H23" s="29">
        <v>1</v>
      </c>
      <c r="I23" s="29">
        <v>2</v>
      </c>
      <c r="J23" s="29">
        <v>2</v>
      </c>
      <c r="K23" s="29">
        <v>1.7</v>
      </c>
      <c r="L23" s="29">
        <v>1.3</v>
      </c>
      <c r="M23" s="29">
        <v>5</v>
      </c>
      <c r="N23" s="30">
        <f t="shared" si="9"/>
        <v>19</v>
      </c>
      <c r="O23" s="29">
        <v>2</v>
      </c>
      <c r="P23" s="29">
        <v>2</v>
      </c>
      <c r="Q23" s="29">
        <v>2</v>
      </c>
      <c r="R23" s="29">
        <v>2</v>
      </c>
      <c r="S23" s="29">
        <v>1.87</v>
      </c>
      <c r="T23" s="29">
        <v>3.92</v>
      </c>
      <c r="U23" s="29">
        <v>1.1100000000000001</v>
      </c>
      <c r="V23" s="29">
        <v>2</v>
      </c>
      <c r="W23" s="30">
        <f t="shared" si="6"/>
        <v>16.899999999999999</v>
      </c>
      <c r="X23" s="29">
        <v>4.5</v>
      </c>
      <c r="Y23" s="29">
        <v>5.93</v>
      </c>
      <c r="Z23" s="29">
        <v>1.875</v>
      </c>
      <c r="AA23" s="29">
        <v>2.8</v>
      </c>
      <c r="AB23" s="29">
        <v>0.5</v>
      </c>
      <c r="AC23" s="29">
        <v>0</v>
      </c>
      <c r="AD23" s="29">
        <v>1.5</v>
      </c>
      <c r="AE23" s="29">
        <v>2.44</v>
      </c>
      <c r="AF23" s="29">
        <v>2.75</v>
      </c>
      <c r="AG23" s="30">
        <f t="shared" si="10"/>
        <v>22.295000000000002</v>
      </c>
      <c r="AH23" s="31">
        <f t="shared" si="11"/>
        <v>58.195</v>
      </c>
      <c r="AI23" s="32">
        <v>5</v>
      </c>
      <c r="AJ23" s="32">
        <v>5</v>
      </c>
      <c r="AK23" s="29">
        <v>5</v>
      </c>
      <c r="AL23" s="29">
        <v>5</v>
      </c>
      <c r="AM23" s="29">
        <v>5</v>
      </c>
      <c r="AN23" s="29">
        <v>10</v>
      </c>
      <c r="AO23" s="29">
        <v>9.89</v>
      </c>
      <c r="AP23" s="29">
        <v>10</v>
      </c>
      <c r="AQ23" s="29">
        <v>10</v>
      </c>
      <c r="AR23" s="29">
        <v>7</v>
      </c>
      <c r="AS23" s="29">
        <v>4.544449306963009</v>
      </c>
      <c r="AT23" s="29">
        <v>5</v>
      </c>
      <c r="AU23" s="29">
        <v>2</v>
      </c>
      <c r="AV23" s="43">
        <f t="shared" si="4"/>
        <v>83.434449306963003</v>
      </c>
      <c r="AW23" s="44">
        <v>65</v>
      </c>
      <c r="AX23" s="45">
        <f t="shared" si="0"/>
        <v>262.62944930696301</v>
      </c>
      <c r="AY23" s="45">
        <f t="shared" si="5"/>
        <v>66.227834792088899</v>
      </c>
    </row>
  </sheetData>
  <mergeCells count="11">
    <mergeCell ref="O5:W5"/>
    <mergeCell ref="A5:A8"/>
    <mergeCell ref="B5:B8"/>
    <mergeCell ref="C5:C8"/>
    <mergeCell ref="D5:D6"/>
    <mergeCell ref="E5:N5"/>
    <mergeCell ref="AX5:AX6"/>
    <mergeCell ref="AY5:AY6"/>
    <mergeCell ref="X5:AH5"/>
    <mergeCell ref="AI5:AV5"/>
    <mergeCell ref="AW5:AW6"/>
  </mergeCells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23"/>
  <sheetViews>
    <sheetView topLeftCell="Z5" workbookViewId="0">
      <selection activeCell="BB8" sqref="BB8"/>
    </sheetView>
  </sheetViews>
  <sheetFormatPr defaultColWidth="9.1796875" defaultRowHeight="15.5" x14ac:dyDescent="0.35"/>
  <cols>
    <col min="1" max="1" width="5.81640625" style="6" customWidth="1"/>
    <col min="2" max="2" width="19" style="4" customWidth="1"/>
    <col min="3" max="3" width="24.54296875" style="5" customWidth="1"/>
    <col min="4" max="4" width="10.7265625" style="6" customWidth="1"/>
    <col min="5" max="25" width="7.81640625" style="5" customWidth="1"/>
    <col min="26" max="27" width="8" style="5" customWidth="1"/>
    <col min="28" max="28" width="12.26953125" style="5" customWidth="1"/>
    <col min="29" max="29" width="10.1796875" style="5" customWidth="1"/>
    <col min="30" max="32" width="8" style="5" customWidth="1"/>
    <col min="33" max="33" width="9.453125" style="5" customWidth="1"/>
    <col min="34" max="34" width="9.81640625" style="5" customWidth="1"/>
    <col min="35" max="38" width="8" style="5" customWidth="1"/>
    <col min="39" max="39" width="9.1796875" style="5" customWidth="1"/>
    <col min="40" max="40" width="10.54296875" style="5" customWidth="1"/>
    <col min="41" max="41" width="8" style="5" customWidth="1"/>
    <col min="42" max="48" width="8" style="6" hidden="1" customWidth="1"/>
    <col min="49" max="50" width="0" style="5" hidden="1" customWidth="1"/>
    <col min="51" max="51" width="10.7265625" style="55" customWidth="1"/>
    <col min="52" max="52" width="10.7265625" style="5" customWidth="1"/>
    <col min="53" max="16384" width="9.1796875" style="5"/>
  </cols>
  <sheetData>
    <row r="1" spans="1:52" ht="18" x14ac:dyDescent="0.35">
      <c r="A1" s="1" t="s">
        <v>94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4"/>
    </row>
    <row r="2" spans="1:52" ht="18" x14ac:dyDescent="0.35">
      <c r="A2" s="1" t="s">
        <v>62</v>
      </c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2" ht="18" x14ac:dyDescent="0.35">
      <c r="A3" s="1" t="s">
        <v>95</v>
      </c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2" x14ac:dyDescent="0.35">
      <c r="N4" s="5">
        <v>50</v>
      </c>
      <c r="X4" s="5">
        <v>50</v>
      </c>
    </row>
    <row r="5" spans="1:52" s="19" customFormat="1" ht="11.25" customHeight="1" x14ac:dyDescent="0.35">
      <c r="A5" s="102" t="s">
        <v>93</v>
      </c>
      <c r="B5" s="102" t="s">
        <v>1</v>
      </c>
      <c r="C5" s="114" t="s">
        <v>2</v>
      </c>
      <c r="D5" s="105" t="s">
        <v>3</v>
      </c>
      <c r="E5" s="107" t="s">
        <v>4</v>
      </c>
      <c r="F5" s="108"/>
      <c r="G5" s="108"/>
      <c r="H5" s="108"/>
      <c r="I5" s="108"/>
      <c r="J5" s="108"/>
      <c r="K5" s="108"/>
      <c r="L5" s="108"/>
      <c r="M5" s="108"/>
      <c r="N5" s="108"/>
      <c r="O5" s="107" t="s">
        <v>6</v>
      </c>
      <c r="P5" s="108"/>
      <c r="Q5" s="108"/>
      <c r="R5" s="108"/>
      <c r="S5" s="108"/>
      <c r="T5" s="108"/>
      <c r="U5" s="108"/>
      <c r="V5" s="108"/>
      <c r="W5" s="108"/>
      <c r="X5" s="108"/>
      <c r="Y5" s="109"/>
      <c r="Z5" s="110" t="s">
        <v>7</v>
      </c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2"/>
      <c r="AP5" s="119" t="s">
        <v>8</v>
      </c>
      <c r="AQ5" s="119"/>
      <c r="AR5" s="119"/>
      <c r="AS5" s="119"/>
      <c r="AT5" s="119"/>
      <c r="AU5" s="119"/>
      <c r="AV5" s="119"/>
      <c r="AW5" s="120" t="s">
        <v>9</v>
      </c>
      <c r="AX5" s="123" t="s">
        <v>10</v>
      </c>
      <c r="AY5" s="117" t="s">
        <v>12</v>
      </c>
      <c r="AZ5" s="105" t="s">
        <v>13</v>
      </c>
    </row>
    <row r="6" spans="1:52" s="19" customFormat="1" ht="39.75" customHeight="1" x14ac:dyDescent="0.35">
      <c r="A6" s="103"/>
      <c r="B6" s="103"/>
      <c r="C6" s="115"/>
      <c r="D6" s="106"/>
      <c r="E6" s="7" t="s">
        <v>14</v>
      </c>
      <c r="F6" s="7" t="s">
        <v>17</v>
      </c>
      <c r="G6" s="7" t="s">
        <v>15</v>
      </c>
      <c r="H6" s="7" t="s">
        <v>18</v>
      </c>
      <c r="I6" s="7" t="s">
        <v>16</v>
      </c>
      <c r="J6" s="7" t="s">
        <v>22</v>
      </c>
      <c r="K6" s="7" t="s">
        <v>55</v>
      </c>
      <c r="L6" s="7" t="s">
        <v>56</v>
      </c>
      <c r="M6" s="7" t="s">
        <v>19</v>
      </c>
      <c r="N6" s="7" t="s">
        <v>20</v>
      </c>
      <c r="O6" s="7" t="s">
        <v>25</v>
      </c>
      <c r="P6" s="7" t="s">
        <v>26</v>
      </c>
      <c r="Q6" s="7" t="s">
        <v>27</v>
      </c>
      <c r="R6" s="7" t="s">
        <v>28</v>
      </c>
      <c r="S6" s="7" t="s">
        <v>29</v>
      </c>
      <c r="T6" s="7" t="s">
        <v>30</v>
      </c>
      <c r="U6" s="7" t="s">
        <v>31</v>
      </c>
      <c r="V6" s="7" t="s">
        <v>32</v>
      </c>
      <c r="W6" s="7" t="s">
        <v>33</v>
      </c>
      <c r="X6" s="7" t="s">
        <v>34</v>
      </c>
      <c r="Y6" s="8" t="s">
        <v>35</v>
      </c>
      <c r="Z6" s="7" t="s">
        <v>36</v>
      </c>
      <c r="AA6" s="7" t="s">
        <v>37</v>
      </c>
      <c r="AB6" s="7" t="s">
        <v>38</v>
      </c>
      <c r="AC6" s="8" t="s">
        <v>39</v>
      </c>
      <c r="AD6" s="8" t="s">
        <v>40</v>
      </c>
      <c r="AE6" s="8" t="s">
        <v>41</v>
      </c>
      <c r="AF6" s="8" t="s">
        <v>42</v>
      </c>
      <c r="AG6" s="8" t="s">
        <v>43</v>
      </c>
      <c r="AH6" s="8" t="s">
        <v>44</v>
      </c>
      <c r="AI6" s="8" t="s">
        <v>45</v>
      </c>
      <c r="AJ6" s="8" t="s">
        <v>46</v>
      </c>
      <c r="AK6" s="8" t="s">
        <v>47</v>
      </c>
      <c r="AL6" s="8" t="s">
        <v>48</v>
      </c>
      <c r="AM6" s="8" t="s">
        <v>27</v>
      </c>
      <c r="AN6" s="8" t="s">
        <v>19</v>
      </c>
      <c r="AO6" s="8" t="s">
        <v>35</v>
      </c>
      <c r="AP6" s="7" t="s">
        <v>49</v>
      </c>
      <c r="AQ6" s="7" t="s">
        <v>50</v>
      </c>
      <c r="AR6" s="7" t="s">
        <v>51</v>
      </c>
      <c r="AS6" s="7" t="s">
        <v>52</v>
      </c>
      <c r="AT6" s="7" t="s">
        <v>53</v>
      </c>
      <c r="AU6" s="7" t="s">
        <v>54</v>
      </c>
      <c r="AV6" s="8" t="s">
        <v>35</v>
      </c>
      <c r="AW6" s="121"/>
      <c r="AX6" s="124"/>
      <c r="AY6" s="118"/>
      <c r="AZ6" s="106"/>
    </row>
    <row r="7" spans="1:52" s="19" customFormat="1" ht="15" customHeight="1" x14ac:dyDescent="0.35">
      <c r="A7" s="103"/>
      <c r="B7" s="103"/>
      <c r="C7" s="115"/>
      <c r="D7" s="13">
        <v>0.1</v>
      </c>
      <c r="E7" s="13"/>
      <c r="F7" s="13"/>
      <c r="G7" s="13"/>
      <c r="H7" s="13"/>
      <c r="I7" s="13"/>
      <c r="J7" s="13"/>
      <c r="K7" s="13"/>
      <c r="L7" s="13"/>
      <c r="M7" s="13"/>
      <c r="N7" s="13">
        <v>0.5</v>
      </c>
      <c r="O7" s="13"/>
      <c r="P7" s="13"/>
      <c r="Q7" s="13"/>
      <c r="R7" s="13"/>
      <c r="S7" s="13"/>
      <c r="T7" s="13"/>
      <c r="U7" s="13"/>
      <c r="V7" s="13"/>
      <c r="W7" s="13"/>
      <c r="X7" s="13">
        <v>0.5</v>
      </c>
      <c r="Y7" s="10">
        <f>(N7+X7)/2</f>
        <v>0.5</v>
      </c>
      <c r="Z7" s="14"/>
      <c r="AA7" s="14"/>
      <c r="AB7" s="14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6">
        <v>0.35</v>
      </c>
      <c r="AP7" s="9">
        <v>30</v>
      </c>
      <c r="AQ7" s="9">
        <v>10</v>
      </c>
      <c r="AR7" s="9">
        <v>30</v>
      </c>
      <c r="AS7" s="9">
        <v>10</v>
      </c>
      <c r="AT7" s="9">
        <v>15</v>
      </c>
      <c r="AU7" s="9">
        <v>5</v>
      </c>
      <c r="AV7" s="10">
        <v>0.1</v>
      </c>
      <c r="AW7" s="121"/>
      <c r="AX7" s="124"/>
      <c r="AY7" s="18">
        <f>D7+Y7+AO7</f>
        <v>0.95</v>
      </c>
      <c r="AZ7" s="18">
        <v>1</v>
      </c>
    </row>
    <row r="8" spans="1:52" s="19" customFormat="1" ht="10.5" x14ac:dyDescent="0.35">
      <c r="A8" s="104"/>
      <c r="B8" s="104"/>
      <c r="C8" s="116"/>
      <c r="D8" s="23">
        <v>100</v>
      </c>
      <c r="E8" s="23">
        <v>4</v>
      </c>
      <c r="F8" s="23">
        <v>4</v>
      </c>
      <c r="G8" s="23">
        <v>10</v>
      </c>
      <c r="H8" s="23">
        <v>11</v>
      </c>
      <c r="I8" s="23">
        <v>5</v>
      </c>
      <c r="J8" s="23">
        <v>6</v>
      </c>
      <c r="K8" s="23">
        <v>3</v>
      </c>
      <c r="L8" s="23">
        <v>2</v>
      </c>
      <c r="M8" s="23">
        <v>5</v>
      </c>
      <c r="N8" s="23">
        <v>45</v>
      </c>
      <c r="O8" s="24">
        <v>9</v>
      </c>
      <c r="P8" s="24">
        <v>10</v>
      </c>
      <c r="Q8" s="24">
        <v>6</v>
      </c>
      <c r="R8" s="24">
        <v>6</v>
      </c>
      <c r="S8" s="24">
        <v>3</v>
      </c>
      <c r="T8" s="24">
        <v>3</v>
      </c>
      <c r="U8" s="24">
        <v>5</v>
      </c>
      <c r="V8" s="24">
        <v>5</v>
      </c>
      <c r="W8" s="24">
        <v>3</v>
      </c>
      <c r="X8" s="24">
        <f t="shared" ref="X8" si="0">SUM(O8:W8)</f>
        <v>50</v>
      </c>
      <c r="Y8" s="25">
        <f>N8+X8</f>
        <v>95</v>
      </c>
      <c r="Z8" s="11">
        <v>5</v>
      </c>
      <c r="AA8" s="11">
        <v>5</v>
      </c>
      <c r="AB8" s="11">
        <v>5</v>
      </c>
      <c r="AC8" s="12">
        <v>5</v>
      </c>
      <c r="AD8" s="12">
        <v>5</v>
      </c>
      <c r="AE8" s="12">
        <v>10</v>
      </c>
      <c r="AF8" s="12">
        <v>10</v>
      </c>
      <c r="AG8" s="12">
        <v>10</v>
      </c>
      <c r="AH8" s="12">
        <v>10</v>
      </c>
      <c r="AI8" s="12">
        <v>7</v>
      </c>
      <c r="AJ8" s="12">
        <v>8</v>
      </c>
      <c r="AK8" s="12">
        <v>5</v>
      </c>
      <c r="AL8" s="12">
        <v>5</v>
      </c>
      <c r="AM8" s="12">
        <v>5</v>
      </c>
      <c r="AN8" s="12">
        <v>5</v>
      </c>
      <c r="AO8" s="12">
        <f>SUM(Z8:AN8)</f>
        <v>100</v>
      </c>
      <c r="AP8" s="11">
        <v>30</v>
      </c>
      <c r="AQ8" s="11">
        <v>10</v>
      </c>
      <c r="AR8" s="11">
        <v>30</v>
      </c>
      <c r="AS8" s="11">
        <v>10</v>
      </c>
      <c r="AT8" s="11">
        <v>15</v>
      </c>
      <c r="AU8" s="11">
        <v>5</v>
      </c>
      <c r="AV8" s="12">
        <f t="shared" ref="AV8" si="1">SUM(AP8:AU8)</f>
        <v>100</v>
      </c>
      <c r="AW8" s="122"/>
      <c r="AX8" s="125"/>
      <c r="AY8" s="23">
        <f>AO8+Y8+D8</f>
        <v>295</v>
      </c>
      <c r="AZ8" s="12">
        <f>(20%*D8)+(50%*Y8)+(30%*AO8)</f>
        <v>97.5</v>
      </c>
    </row>
    <row r="9" spans="1:52" s="28" customFormat="1" ht="16.5" customHeight="1" x14ac:dyDescent="0.35">
      <c r="A9" s="26">
        <v>1</v>
      </c>
      <c r="B9" s="27"/>
      <c r="C9" s="66"/>
      <c r="D9" s="26"/>
      <c r="E9" s="60"/>
      <c r="F9" s="60"/>
      <c r="G9" s="60"/>
      <c r="H9" s="60"/>
      <c r="I9" s="60"/>
      <c r="J9" s="60"/>
      <c r="K9" s="60"/>
      <c r="L9" s="60"/>
      <c r="M9" s="60"/>
      <c r="N9" s="61">
        <f t="shared" ref="N9:N18" si="2">SUM(E9:M9)</f>
        <v>0</v>
      </c>
      <c r="O9" s="60"/>
      <c r="P9" s="60"/>
      <c r="Q9" s="60"/>
      <c r="R9" s="60"/>
      <c r="S9" s="60"/>
      <c r="T9" s="60"/>
      <c r="U9" s="60"/>
      <c r="V9" s="60"/>
      <c r="W9" s="60"/>
      <c r="X9" s="61">
        <f t="shared" ref="X9:X18" si="3">SUM(O9:W9)</f>
        <v>0</v>
      </c>
      <c r="Y9" s="62">
        <f>N9+X9</f>
        <v>0</v>
      </c>
      <c r="Z9" s="63"/>
      <c r="AA9" s="63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>
        <v>5</v>
      </c>
      <c r="AO9" s="62">
        <f t="shared" ref="AO9:AO18" si="4">SUM(Z9:AN9)</f>
        <v>5</v>
      </c>
      <c r="AP9" s="29"/>
      <c r="AQ9" s="29"/>
      <c r="AR9" s="29"/>
      <c r="AS9" s="29"/>
      <c r="AT9" s="29"/>
      <c r="AU9" s="29"/>
      <c r="AV9" s="33"/>
      <c r="AW9" s="33"/>
      <c r="AX9" s="33"/>
      <c r="AY9" s="54">
        <f t="shared" ref="AY9:AY18" si="5">AO9+Y9+D9</f>
        <v>5</v>
      </c>
      <c r="AZ9" s="12">
        <f t="shared" ref="AZ9:AZ18" si="6">(20%*D9)+(50%*Y9)+(30%*AO9)</f>
        <v>1.5</v>
      </c>
    </row>
    <row r="10" spans="1:52" s="28" customFormat="1" ht="16.5" customHeight="1" x14ac:dyDescent="0.35">
      <c r="A10" s="26">
        <v>2</v>
      </c>
      <c r="B10" s="27"/>
      <c r="C10" s="66"/>
      <c r="D10" s="26"/>
      <c r="E10" s="60"/>
      <c r="F10" s="60"/>
      <c r="G10" s="60"/>
      <c r="H10" s="60"/>
      <c r="I10" s="60"/>
      <c r="J10" s="60"/>
      <c r="K10" s="60"/>
      <c r="L10" s="60"/>
      <c r="M10" s="60"/>
      <c r="N10" s="61">
        <f t="shared" si="2"/>
        <v>0</v>
      </c>
      <c r="O10" s="60"/>
      <c r="P10" s="60"/>
      <c r="Q10" s="60"/>
      <c r="R10" s="60"/>
      <c r="S10" s="60"/>
      <c r="T10" s="60"/>
      <c r="U10" s="60"/>
      <c r="V10" s="60"/>
      <c r="W10" s="60"/>
      <c r="X10" s="61">
        <f t="shared" si="3"/>
        <v>0</v>
      </c>
      <c r="Y10" s="62">
        <f t="shared" ref="Y10:Y18" si="7">N10+X10</f>
        <v>0</v>
      </c>
      <c r="Z10" s="63"/>
      <c r="AA10" s="63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>
        <v>5</v>
      </c>
      <c r="AO10" s="62">
        <f t="shared" si="4"/>
        <v>5</v>
      </c>
      <c r="AP10" s="29"/>
      <c r="AQ10" s="29"/>
      <c r="AR10" s="29"/>
      <c r="AS10" s="29"/>
      <c r="AT10" s="29"/>
      <c r="AU10" s="29"/>
      <c r="AV10" s="33">
        <f>SUM(AP10:AU10)</f>
        <v>0</v>
      </c>
      <c r="AW10" s="33">
        <f>(10%*E10)+(50%*Y10)+(30%*AO10)+(10%*AV10)</f>
        <v>1.5</v>
      </c>
      <c r="AX10" s="33">
        <f>E10+Y10+AO10+AV10</f>
        <v>5</v>
      </c>
      <c r="AY10" s="54">
        <f t="shared" si="5"/>
        <v>5</v>
      </c>
      <c r="AZ10" s="12">
        <f t="shared" si="6"/>
        <v>1.5</v>
      </c>
    </row>
    <row r="11" spans="1:52" s="28" customFormat="1" ht="16.5" customHeight="1" x14ac:dyDescent="0.35">
      <c r="A11" s="26">
        <v>3</v>
      </c>
      <c r="B11" s="27"/>
      <c r="C11" s="66"/>
      <c r="D11" s="26"/>
      <c r="E11" s="60"/>
      <c r="F11" s="60"/>
      <c r="G11" s="60"/>
      <c r="H11" s="60"/>
      <c r="I11" s="60"/>
      <c r="J11" s="60"/>
      <c r="K11" s="60"/>
      <c r="L11" s="60"/>
      <c r="M11" s="60"/>
      <c r="N11" s="61">
        <f t="shared" si="2"/>
        <v>0</v>
      </c>
      <c r="O11" s="60"/>
      <c r="P11" s="60"/>
      <c r="Q11" s="60"/>
      <c r="R11" s="60"/>
      <c r="S11" s="60"/>
      <c r="T11" s="60"/>
      <c r="U11" s="60"/>
      <c r="V11" s="60"/>
      <c r="W11" s="60"/>
      <c r="X11" s="61">
        <f t="shared" si="3"/>
        <v>0</v>
      </c>
      <c r="Y11" s="62">
        <f t="shared" si="7"/>
        <v>0</v>
      </c>
      <c r="Z11" s="63"/>
      <c r="AA11" s="63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>
        <v>5</v>
      </c>
      <c r="AO11" s="62">
        <f t="shared" si="4"/>
        <v>5</v>
      </c>
      <c r="AP11" s="29"/>
      <c r="AQ11" s="29"/>
      <c r="AR11" s="29"/>
      <c r="AS11" s="29"/>
      <c r="AT11" s="29"/>
      <c r="AU11" s="29"/>
      <c r="AV11" s="33">
        <f>SUM(AP11:AU11)</f>
        <v>0</v>
      </c>
      <c r="AW11" s="33">
        <f>(10%*E11)+(50%*Y11)+(30%*AO11)+(10%*AV11)</f>
        <v>1.5</v>
      </c>
      <c r="AX11" s="33">
        <f>E11+Y11+AO11+AV11</f>
        <v>5</v>
      </c>
      <c r="AY11" s="54">
        <f t="shared" si="5"/>
        <v>5</v>
      </c>
      <c r="AZ11" s="12">
        <f t="shared" si="6"/>
        <v>1.5</v>
      </c>
    </row>
    <row r="12" spans="1:52" s="28" customFormat="1" ht="16.5" customHeight="1" x14ac:dyDescent="0.35">
      <c r="A12" s="26">
        <v>4</v>
      </c>
      <c r="B12" s="27"/>
      <c r="C12" s="66"/>
      <c r="D12" s="26"/>
      <c r="E12" s="60"/>
      <c r="F12" s="60"/>
      <c r="G12" s="60"/>
      <c r="H12" s="60"/>
      <c r="I12" s="60"/>
      <c r="J12" s="60"/>
      <c r="K12" s="60"/>
      <c r="L12" s="60"/>
      <c r="M12" s="60"/>
      <c r="N12" s="61">
        <f t="shared" si="2"/>
        <v>0</v>
      </c>
      <c r="O12" s="60"/>
      <c r="P12" s="60"/>
      <c r="Q12" s="60"/>
      <c r="R12" s="60"/>
      <c r="S12" s="60"/>
      <c r="T12" s="60"/>
      <c r="U12" s="60"/>
      <c r="V12" s="60"/>
      <c r="W12" s="60"/>
      <c r="X12" s="61">
        <f t="shared" si="3"/>
        <v>0</v>
      </c>
      <c r="Y12" s="62">
        <f t="shared" si="7"/>
        <v>0</v>
      </c>
      <c r="Z12" s="63"/>
      <c r="AA12" s="63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>
        <v>5</v>
      </c>
      <c r="AO12" s="62">
        <f t="shared" si="4"/>
        <v>5</v>
      </c>
      <c r="AP12" s="29"/>
      <c r="AQ12" s="29"/>
      <c r="AR12" s="29"/>
      <c r="AS12" s="29"/>
      <c r="AT12" s="29"/>
      <c r="AU12" s="29"/>
      <c r="AV12" s="33">
        <f>SUM(AP12:AU12)</f>
        <v>0</v>
      </c>
      <c r="AW12" s="33">
        <f>(10%*E12)+(50%*Y12)+(30%*AO12)+(10%*AV12)</f>
        <v>1.5</v>
      </c>
      <c r="AX12" s="33">
        <f>E12+Y12+AO12+AV12</f>
        <v>5</v>
      </c>
      <c r="AY12" s="54">
        <f t="shared" si="5"/>
        <v>5</v>
      </c>
      <c r="AZ12" s="12">
        <f t="shared" si="6"/>
        <v>1.5</v>
      </c>
    </row>
    <row r="13" spans="1:52" s="28" customFormat="1" ht="16.5" customHeight="1" x14ac:dyDescent="0.35">
      <c r="A13" s="26">
        <v>5</v>
      </c>
      <c r="B13" s="27"/>
      <c r="C13" s="66"/>
      <c r="D13" s="26"/>
      <c r="E13" s="60"/>
      <c r="F13" s="60"/>
      <c r="G13" s="60"/>
      <c r="H13" s="60"/>
      <c r="I13" s="60"/>
      <c r="J13" s="60"/>
      <c r="K13" s="60"/>
      <c r="L13" s="60"/>
      <c r="M13" s="60"/>
      <c r="N13" s="61">
        <f t="shared" si="2"/>
        <v>0</v>
      </c>
      <c r="O13" s="60"/>
      <c r="P13" s="60"/>
      <c r="Q13" s="60"/>
      <c r="R13" s="60"/>
      <c r="S13" s="60"/>
      <c r="T13" s="60"/>
      <c r="U13" s="60"/>
      <c r="V13" s="60"/>
      <c r="W13" s="60"/>
      <c r="X13" s="61">
        <f t="shared" si="3"/>
        <v>0</v>
      </c>
      <c r="Y13" s="62">
        <f t="shared" si="7"/>
        <v>0</v>
      </c>
      <c r="Z13" s="63"/>
      <c r="AA13" s="63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>
        <v>5</v>
      </c>
      <c r="AO13" s="62">
        <f t="shared" si="4"/>
        <v>5</v>
      </c>
      <c r="AP13" s="29"/>
      <c r="AQ13" s="29"/>
      <c r="AR13" s="29"/>
      <c r="AS13" s="29"/>
      <c r="AT13" s="29"/>
      <c r="AU13" s="29"/>
      <c r="AV13" s="33">
        <f>SUM(AP13:AU13)</f>
        <v>0</v>
      </c>
      <c r="AW13" s="33">
        <f>(10%*E13)+(50%*Y13)+(30%*AO13)+(10%*AV13)</f>
        <v>1.5</v>
      </c>
      <c r="AX13" s="33">
        <f>E13+Y13+AO13+AV13</f>
        <v>5</v>
      </c>
      <c r="AY13" s="54">
        <f t="shared" si="5"/>
        <v>5</v>
      </c>
      <c r="AZ13" s="12">
        <f t="shared" si="6"/>
        <v>1.5</v>
      </c>
    </row>
    <row r="14" spans="1:52" s="28" customFormat="1" ht="16.5" customHeight="1" x14ac:dyDescent="0.35">
      <c r="A14" s="26">
        <v>6</v>
      </c>
      <c r="B14" s="27"/>
      <c r="C14" s="66"/>
      <c r="D14" s="26"/>
      <c r="E14" s="60"/>
      <c r="F14" s="60"/>
      <c r="G14" s="60"/>
      <c r="H14" s="60"/>
      <c r="I14" s="60"/>
      <c r="J14" s="60"/>
      <c r="K14" s="60"/>
      <c r="L14" s="60"/>
      <c r="M14" s="60"/>
      <c r="N14" s="61">
        <f t="shared" si="2"/>
        <v>0</v>
      </c>
      <c r="O14" s="60"/>
      <c r="P14" s="60"/>
      <c r="Q14" s="60"/>
      <c r="R14" s="60"/>
      <c r="S14" s="60"/>
      <c r="T14" s="60"/>
      <c r="U14" s="60"/>
      <c r="V14" s="60"/>
      <c r="W14" s="60"/>
      <c r="X14" s="61">
        <f t="shared" si="3"/>
        <v>0</v>
      </c>
      <c r="Y14" s="62">
        <f t="shared" si="7"/>
        <v>0</v>
      </c>
      <c r="Z14" s="63"/>
      <c r="AA14" s="63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>
        <v>5</v>
      </c>
      <c r="AO14" s="62">
        <f t="shared" si="4"/>
        <v>5</v>
      </c>
      <c r="AP14" s="29"/>
      <c r="AQ14" s="29"/>
      <c r="AR14" s="29"/>
      <c r="AS14" s="29"/>
      <c r="AT14" s="29"/>
      <c r="AU14" s="29"/>
      <c r="AV14" s="33"/>
      <c r="AW14" s="33"/>
      <c r="AX14" s="33"/>
      <c r="AY14" s="54">
        <f t="shared" si="5"/>
        <v>5</v>
      </c>
      <c r="AZ14" s="12">
        <f t="shared" si="6"/>
        <v>1.5</v>
      </c>
    </row>
    <row r="15" spans="1:52" s="28" customFormat="1" ht="16.5" customHeight="1" x14ac:dyDescent="0.35">
      <c r="A15" s="26">
        <v>7</v>
      </c>
      <c r="B15" s="27"/>
      <c r="C15" s="66"/>
      <c r="D15" s="26"/>
      <c r="E15" s="60"/>
      <c r="F15" s="60"/>
      <c r="G15" s="60"/>
      <c r="H15" s="60"/>
      <c r="I15" s="60"/>
      <c r="J15" s="60"/>
      <c r="K15" s="60"/>
      <c r="L15" s="60"/>
      <c r="M15" s="60"/>
      <c r="N15" s="61">
        <f t="shared" si="2"/>
        <v>0</v>
      </c>
      <c r="O15" s="60"/>
      <c r="P15" s="60"/>
      <c r="Q15" s="60"/>
      <c r="R15" s="60"/>
      <c r="S15" s="60"/>
      <c r="T15" s="60"/>
      <c r="U15" s="60"/>
      <c r="V15" s="60"/>
      <c r="W15" s="60"/>
      <c r="X15" s="61">
        <f t="shared" si="3"/>
        <v>0</v>
      </c>
      <c r="Y15" s="62">
        <f t="shared" si="7"/>
        <v>0</v>
      </c>
      <c r="Z15" s="63"/>
      <c r="AA15" s="63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>
        <v>5</v>
      </c>
      <c r="AO15" s="62">
        <f t="shared" si="4"/>
        <v>5</v>
      </c>
      <c r="AP15" s="29"/>
      <c r="AQ15" s="29"/>
      <c r="AR15" s="29"/>
      <c r="AS15" s="29"/>
      <c r="AT15" s="29"/>
      <c r="AU15" s="29"/>
      <c r="AV15" s="33"/>
      <c r="AW15" s="33"/>
      <c r="AX15" s="33"/>
      <c r="AY15" s="54">
        <f t="shared" si="5"/>
        <v>5</v>
      </c>
      <c r="AZ15" s="12">
        <f t="shared" si="6"/>
        <v>1.5</v>
      </c>
    </row>
    <row r="16" spans="1:52" s="28" customFormat="1" ht="16.5" customHeight="1" x14ac:dyDescent="0.35">
      <c r="A16" s="26">
        <v>8</v>
      </c>
      <c r="B16" s="27"/>
      <c r="C16" s="66"/>
      <c r="D16" s="26"/>
      <c r="E16" s="60"/>
      <c r="F16" s="60"/>
      <c r="G16" s="60"/>
      <c r="H16" s="60"/>
      <c r="I16" s="60"/>
      <c r="J16" s="60"/>
      <c r="K16" s="60"/>
      <c r="L16" s="60"/>
      <c r="M16" s="60"/>
      <c r="N16" s="61">
        <f t="shared" si="2"/>
        <v>0</v>
      </c>
      <c r="O16" s="60"/>
      <c r="P16" s="60"/>
      <c r="Q16" s="60"/>
      <c r="R16" s="60"/>
      <c r="S16" s="60"/>
      <c r="T16" s="60"/>
      <c r="U16" s="60"/>
      <c r="V16" s="60"/>
      <c r="W16" s="60"/>
      <c r="X16" s="61">
        <f t="shared" si="3"/>
        <v>0</v>
      </c>
      <c r="Y16" s="62">
        <f t="shared" si="7"/>
        <v>0</v>
      </c>
      <c r="Z16" s="63"/>
      <c r="AA16" s="63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>
        <v>5</v>
      </c>
      <c r="AO16" s="62">
        <f t="shared" si="4"/>
        <v>5</v>
      </c>
      <c r="AP16" s="29"/>
      <c r="AQ16" s="29"/>
      <c r="AR16" s="29"/>
      <c r="AS16" s="29"/>
      <c r="AT16" s="29"/>
      <c r="AU16" s="29"/>
      <c r="AV16" s="33">
        <f>SUM(AP16:AU16)</f>
        <v>0</v>
      </c>
      <c r="AW16" s="33">
        <f>(10%*E16)+(50%*Y16)+(30%*AO16)+(10%*AV16)</f>
        <v>1.5</v>
      </c>
      <c r="AX16" s="33">
        <f>E16+Y16+AO16+AV16</f>
        <v>5</v>
      </c>
      <c r="AY16" s="54">
        <f t="shared" si="5"/>
        <v>5</v>
      </c>
      <c r="AZ16" s="12">
        <f t="shared" si="6"/>
        <v>1.5</v>
      </c>
    </row>
    <row r="17" spans="1:52" s="28" customFormat="1" ht="16.5" customHeight="1" x14ac:dyDescent="0.35">
      <c r="A17" s="26">
        <v>9</v>
      </c>
      <c r="B17" s="27"/>
      <c r="C17" s="66"/>
      <c r="D17" s="26"/>
      <c r="E17" s="60"/>
      <c r="F17" s="60"/>
      <c r="G17" s="60"/>
      <c r="H17" s="60"/>
      <c r="I17" s="60"/>
      <c r="J17" s="60"/>
      <c r="K17" s="60"/>
      <c r="L17" s="60"/>
      <c r="M17" s="60"/>
      <c r="N17" s="61">
        <f t="shared" si="2"/>
        <v>0</v>
      </c>
      <c r="O17" s="60"/>
      <c r="P17" s="60"/>
      <c r="Q17" s="60"/>
      <c r="R17" s="60"/>
      <c r="S17" s="60"/>
      <c r="T17" s="60"/>
      <c r="U17" s="60"/>
      <c r="V17" s="60"/>
      <c r="W17" s="60"/>
      <c r="X17" s="61">
        <f t="shared" si="3"/>
        <v>0</v>
      </c>
      <c r="Y17" s="62">
        <f t="shared" si="7"/>
        <v>0</v>
      </c>
      <c r="Z17" s="63"/>
      <c r="AA17" s="63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>
        <v>5</v>
      </c>
      <c r="AO17" s="62">
        <f t="shared" si="4"/>
        <v>5</v>
      </c>
      <c r="AP17" s="29"/>
      <c r="AQ17" s="29"/>
      <c r="AR17" s="29"/>
      <c r="AS17" s="29"/>
      <c r="AT17" s="29"/>
      <c r="AU17" s="29"/>
      <c r="AV17" s="33"/>
      <c r="AW17" s="33"/>
      <c r="AX17" s="33"/>
      <c r="AY17" s="54">
        <f t="shared" si="5"/>
        <v>5</v>
      </c>
      <c r="AZ17" s="12">
        <f t="shared" si="6"/>
        <v>1.5</v>
      </c>
    </row>
    <row r="18" spans="1:52" s="28" customFormat="1" ht="16.5" customHeight="1" x14ac:dyDescent="0.35">
      <c r="A18" s="26">
        <v>10</v>
      </c>
      <c r="B18" s="27"/>
      <c r="C18" s="66"/>
      <c r="D18" s="26"/>
      <c r="E18" s="60"/>
      <c r="F18" s="60"/>
      <c r="G18" s="60"/>
      <c r="H18" s="60"/>
      <c r="I18" s="60"/>
      <c r="J18" s="60"/>
      <c r="K18" s="60"/>
      <c r="L18" s="60"/>
      <c r="M18" s="60"/>
      <c r="N18" s="61">
        <f t="shared" si="2"/>
        <v>0</v>
      </c>
      <c r="O18" s="60"/>
      <c r="P18" s="60"/>
      <c r="Q18" s="60"/>
      <c r="R18" s="60"/>
      <c r="S18" s="60"/>
      <c r="T18" s="60"/>
      <c r="U18" s="60"/>
      <c r="V18" s="60"/>
      <c r="W18" s="60"/>
      <c r="X18" s="61">
        <f t="shared" si="3"/>
        <v>0</v>
      </c>
      <c r="Y18" s="61">
        <f t="shared" si="7"/>
        <v>0</v>
      </c>
      <c r="Z18" s="64"/>
      <c r="AA18" s="64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>
        <v>5</v>
      </c>
      <c r="AO18" s="61">
        <f t="shared" si="4"/>
        <v>5</v>
      </c>
      <c r="AP18" s="29"/>
      <c r="AQ18" s="29"/>
      <c r="AR18" s="29"/>
      <c r="AS18" s="29"/>
      <c r="AT18" s="29"/>
      <c r="AU18" s="29"/>
      <c r="AV18" s="33"/>
      <c r="AW18" s="33"/>
      <c r="AX18" s="33"/>
      <c r="AY18" s="54">
        <f t="shared" si="5"/>
        <v>5</v>
      </c>
      <c r="AZ18" s="11">
        <f t="shared" si="6"/>
        <v>1.5</v>
      </c>
    </row>
    <row r="19" spans="1:52" ht="14" x14ac:dyDescent="0.35">
      <c r="A19" s="26">
        <v>11</v>
      </c>
      <c r="B19" s="27"/>
      <c r="C19" s="66"/>
      <c r="D19" s="26"/>
      <c r="E19" s="60"/>
      <c r="F19" s="60"/>
      <c r="G19" s="60"/>
      <c r="H19" s="60"/>
      <c r="I19" s="60"/>
      <c r="J19" s="60"/>
      <c r="K19" s="60"/>
      <c r="L19" s="60"/>
      <c r="M19" s="60"/>
      <c r="N19" s="61">
        <f t="shared" ref="N19:N23" si="8">SUM(E19:M19)</f>
        <v>0</v>
      </c>
      <c r="O19" s="60"/>
      <c r="P19" s="60"/>
      <c r="Q19" s="60"/>
      <c r="R19" s="60"/>
      <c r="S19" s="60"/>
      <c r="T19" s="60"/>
      <c r="U19" s="60"/>
      <c r="V19" s="60"/>
      <c r="W19" s="60"/>
      <c r="X19" s="61">
        <f t="shared" ref="X19:X23" si="9">SUM(O19:W19)</f>
        <v>0</v>
      </c>
      <c r="Y19" s="62">
        <f t="shared" ref="Y19:Y23" si="10">N19+X19</f>
        <v>0</v>
      </c>
      <c r="Z19" s="63"/>
      <c r="AA19" s="63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>
        <v>5</v>
      </c>
      <c r="AO19" s="62">
        <f t="shared" ref="AO19:AO23" si="11">SUM(Z19:AN19)</f>
        <v>5</v>
      </c>
      <c r="AP19" s="29"/>
      <c r="AQ19" s="29"/>
      <c r="AR19" s="29"/>
      <c r="AS19" s="29"/>
      <c r="AT19" s="29"/>
      <c r="AU19" s="29"/>
      <c r="AV19" s="33"/>
      <c r="AW19" s="33"/>
      <c r="AX19" s="33"/>
      <c r="AY19" s="54">
        <f t="shared" ref="AY19:AY23" si="12">AO19+Y19+D19</f>
        <v>5</v>
      </c>
      <c r="AZ19" s="12">
        <f t="shared" ref="AZ19:AZ23" si="13">(20%*D19)+(50%*Y19)+(30%*AO19)</f>
        <v>1.5</v>
      </c>
    </row>
    <row r="20" spans="1:52" ht="14" x14ac:dyDescent="0.35">
      <c r="A20" s="26">
        <v>12</v>
      </c>
      <c r="B20" s="27"/>
      <c r="C20" s="66"/>
      <c r="D20" s="26"/>
      <c r="E20" s="60"/>
      <c r="F20" s="60"/>
      <c r="G20" s="60"/>
      <c r="H20" s="60"/>
      <c r="I20" s="60"/>
      <c r="J20" s="60"/>
      <c r="K20" s="60"/>
      <c r="L20" s="60"/>
      <c r="M20" s="60"/>
      <c r="N20" s="61">
        <f t="shared" si="8"/>
        <v>0</v>
      </c>
      <c r="O20" s="60"/>
      <c r="P20" s="60"/>
      <c r="Q20" s="60"/>
      <c r="R20" s="60"/>
      <c r="S20" s="60"/>
      <c r="T20" s="60"/>
      <c r="U20" s="60"/>
      <c r="V20" s="60"/>
      <c r="W20" s="60"/>
      <c r="X20" s="61">
        <f t="shared" si="9"/>
        <v>0</v>
      </c>
      <c r="Y20" s="61">
        <f t="shared" si="10"/>
        <v>0</v>
      </c>
      <c r="Z20" s="64"/>
      <c r="AA20" s="64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>
        <v>5</v>
      </c>
      <c r="AO20" s="61">
        <f t="shared" si="11"/>
        <v>5</v>
      </c>
      <c r="AP20" s="29"/>
      <c r="AQ20" s="29"/>
      <c r="AR20" s="29"/>
      <c r="AS20" s="29"/>
      <c r="AT20" s="29"/>
      <c r="AU20" s="29"/>
      <c r="AV20" s="33"/>
      <c r="AW20" s="33"/>
      <c r="AX20" s="33"/>
      <c r="AY20" s="54">
        <f t="shared" si="12"/>
        <v>5</v>
      </c>
      <c r="AZ20" s="11">
        <f t="shared" si="13"/>
        <v>1.5</v>
      </c>
    </row>
    <row r="21" spans="1:52" ht="14" x14ac:dyDescent="0.35">
      <c r="A21" s="26">
        <v>13</v>
      </c>
      <c r="B21" s="27"/>
      <c r="C21" s="66"/>
      <c r="D21" s="26"/>
      <c r="E21" s="60"/>
      <c r="F21" s="60"/>
      <c r="G21" s="60"/>
      <c r="H21" s="60"/>
      <c r="I21" s="60"/>
      <c r="J21" s="60"/>
      <c r="K21" s="60"/>
      <c r="L21" s="60"/>
      <c r="M21" s="60"/>
      <c r="N21" s="61">
        <f t="shared" si="8"/>
        <v>0</v>
      </c>
      <c r="O21" s="60"/>
      <c r="P21" s="60"/>
      <c r="Q21" s="60"/>
      <c r="R21" s="60"/>
      <c r="S21" s="60"/>
      <c r="T21" s="60"/>
      <c r="U21" s="60"/>
      <c r="V21" s="60"/>
      <c r="W21" s="60"/>
      <c r="X21" s="61">
        <f t="shared" si="9"/>
        <v>0</v>
      </c>
      <c r="Y21" s="62">
        <f t="shared" si="10"/>
        <v>0</v>
      </c>
      <c r="Z21" s="63"/>
      <c r="AA21" s="63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>
        <v>5</v>
      </c>
      <c r="AO21" s="62">
        <f t="shared" si="11"/>
        <v>5</v>
      </c>
      <c r="AP21" s="29"/>
      <c r="AQ21" s="29"/>
      <c r="AR21" s="29"/>
      <c r="AS21" s="29"/>
      <c r="AT21" s="29"/>
      <c r="AU21" s="29"/>
      <c r="AV21" s="33"/>
      <c r="AW21" s="33"/>
      <c r="AX21" s="33"/>
      <c r="AY21" s="54">
        <f t="shared" si="12"/>
        <v>5</v>
      </c>
      <c r="AZ21" s="12">
        <f t="shared" si="13"/>
        <v>1.5</v>
      </c>
    </row>
    <row r="22" spans="1:52" ht="14" x14ac:dyDescent="0.35">
      <c r="A22" s="26">
        <v>14</v>
      </c>
      <c r="B22" s="27"/>
      <c r="C22" s="66"/>
      <c r="D22" s="26"/>
      <c r="E22" s="60"/>
      <c r="F22" s="60"/>
      <c r="G22" s="60"/>
      <c r="H22" s="60"/>
      <c r="I22" s="60"/>
      <c r="J22" s="60"/>
      <c r="K22" s="60"/>
      <c r="L22" s="60"/>
      <c r="M22" s="60"/>
      <c r="N22" s="61">
        <f t="shared" si="8"/>
        <v>0</v>
      </c>
      <c r="O22" s="60"/>
      <c r="P22" s="60"/>
      <c r="Q22" s="60"/>
      <c r="R22" s="60"/>
      <c r="S22" s="60"/>
      <c r="T22" s="60"/>
      <c r="U22" s="60"/>
      <c r="V22" s="60"/>
      <c r="W22" s="60"/>
      <c r="X22" s="61">
        <f t="shared" si="9"/>
        <v>0</v>
      </c>
      <c r="Y22" s="61">
        <f t="shared" si="10"/>
        <v>0</v>
      </c>
      <c r="Z22" s="64"/>
      <c r="AA22" s="64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>
        <v>5</v>
      </c>
      <c r="AO22" s="61">
        <f t="shared" si="11"/>
        <v>5</v>
      </c>
      <c r="AP22" s="29"/>
      <c r="AQ22" s="29"/>
      <c r="AR22" s="29"/>
      <c r="AS22" s="29"/>
      <c r="AT22" s="29"/>
      <c r="AU22" s="29"/>
      <c r="AV22" s="33"/>
      <c r="AW22" s="33"/>
      <c r="AX22" s="33"/>
      <c r="AY22" s="54">
        <f t="shared" si="12"/>
        <v>5</v>
      </c>
      <c r="AZ22" s="11">
        <f t="shared" si="13"/>
        <v>1.5</v>
      </c>
    </row>
    <row r="23" spans="1:52" ht="14" x14ac:dyDescent="0.35">
      <c r="A23" s="26">
        <v>15</v>
      </c>
      <c r="B23" s="27"/>
      <c r="C23" s="66"/>
      <c r="D23" s="26"/>
      <c r="E23" s="60"/>
      <c r="F23" s="60"/>
      <c r="G23" s="60"/>
      <c r="H23" s="60"/>
      <c r="I23" s="60"/>
      <c r="J23" s="60"/>
      <c r="K23" s="60"/>
      <c r="L23" s="60"/>
      <c r="M23" s="60"/>
      <c r="N23" s="61">
        <f t="shared" si="8"/>
        <v>0</v>
      </c>
      <c r="O23" s="60"/>
      <c r="P23" s="60"/>
      <c r="Q23" s="60"/>
      <c r="R23" s="60"/>
      <c r="S23" s="60"/>
      <c r="T23" s="60"/>
      <c r="U23" s="60"/>
      <c r="V23" s="60"/>
      <c r="W23" s="60"/>
      <c r="X23" s="61">
        <f t="shared" si="9"/>
        <v>0</v>
      </c>
      <c r="Y23" s="62">
        <f t="shared" si="10"/>
        <v>0</v>
      </c>
      <c r="Z23" s="63"/>
      <c r="AA23" s="63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>
        <v>5</v>
      </c>
      <c r="AO23" s="62">
        <f t="shared" si="11"/>
        <v>5</v>
      </c>
      <c r="AP23" s="29"/>
      <c r="AQ23" s="29"/>
      <c r="AR23" s="29"/>
      <c r="AS23" s="29"/>
      <c r="AT23" s="29"/>
      <c r="AU23" s="29"/>
      <c r="AV23" s="33"/>
      <c r="AW23" s="33"/>
      <c r="AX23" s="33"/>
      <c r="AY23" s="54">
        <f t="shared" si="12"/>
        <v>5</v>
      </c>
      <c r="AZ23" s="12">
        <f t="shared" si="13"/>
        <v>1.5</v>
      </c>
    </row>
  </sheetData>
  <sortState xmlns:xlrd2="http://schemas.microsoft.com/office/spreadsheetml/2017/richdata2" ref="A9:BJ42">
    <sortCondition descending="1" ref="N9:N42"/>
  </sortState>
  <mergeCells count="12">
    <mergeCell ref="AY5:AY6"/>
    <mergeCell ref="AZ5:AZ6"/>
    <mergeCell ref="O5:Y5"/>
    <mergeCell ref="Z5:AO5"/>
    <mergeCell ref="AP5:AV5"/>
    <mergeCell ref="AW5:AW8"/>
    <mergeCell ref="AX5:AX8"/>
    <mergeCell ref="A5:A8"/>
    <mergeCell ref="B5:B8"/>
    <mergeCell ref="C5:C8"/>
    <mergeCell ref="D5:D6"/>
    <mergeCell ref="E5:N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36"/>
  <sheetViews>
    <sheetView workbookViewId="0">
      <selection activeCell="G93" sqref="G93"/>
    </sheetView>
  </sheetViews>
  <sheetFormatPr defaultRowHeight="14.5" x14ac:dyDescent="0.35"/>
  <cols>
    <col min="2" max="2" width="25.81640625" style="20" customWidth="1"/>
    <col min="3" max="4" width="25.81640625" customWidth="1"/>
  </cols>
  <sheetData>
    <row r="1" spans="2:4" ht="20.25" customHeight="1" x14ac:dyDescent="0.35">
      <c r="B1" s="126">
        <v>1</v>
      </c>
      <c r="D1" s="126">
        <v>19</v>
      </c>
    </row>
    <row r="2" spans="2:4" s="21" customFormat="1" ht="20.25" customHeight="1" x14ac:dyDescent="0.35">
      <c r="B2" s="126"/>
      <c r="C2" s="46"/>
      <c r="D2" s="126">
        <v>1</v>
      </c>
    </row>
    <row r="3" spans="2:4" s="21" customFormat="1" ht="11.25" customHeight="1" x14ac:dyDescent="0.35">
      <c r="B3" s="22"/>
      <c r="C3" s="22"/>
      <c r="D3" s="22"/>
    </row>
    <row r="4" spans="2:4" s="21" customFormat="1" ht="45" customHeight="1" x14ac:dyDescent="0.35">
      <c r="B4" s="22">
        <v>2</v>
      </c>
      <c r="C4" s="22"/>
      <c r="D4" s="22">
        <v>20</v>
      </c>
    </row>
    <row r="5" spans="2:4" s="21" customFormat="1" ht="11.25" customHeight="1" x14ac:dyDescent="0.35">
      <c r="B5" s="22"/>
      <c r="C5" s="22"/>
      <c r="D5" s="22"/>
    </row>
    <row r="6" spans="2:4" s="21" customFormat="1" ht="45" customHeight="1" x14ac:dyDescent="0.35">
      <c r="B6" s="22">
        <v>3</v>
      </c>
      <c r="C6" s="22"/>
      <c r="D6" s="22">
        <v>21</v>
      </c>
    </row>
    <row r="7" spans="2:4" s="21" customFormat="1" ht="9.75" customHeight="1" x14ac:dyDescent="0.35">
      <c r="B7" s="22"/>
      <c r="C7" s="22"/>
      <c r="D7" s="22"/>
    </row>
    <row r="8" spans="2:4" s="21" customFormat="1" ht="45" customHeight="1" x14ac:dyDescent="0.35">
      <c r="B8" s="22">
        <v>4</v>
      </c>
      <c r="C8" s="22"/>
      <c r="D8" s="22">
        <v>22</v>
      </c>
    </row>
    <row r="9" spans="2:4" s="21" customFormat="1" ht="10.5" customHeight="1" x14ac:dyDescent="0.35">
      <c r="B9" s="22"/>
      <c r="C9" s="22"/>
      <c r="D9" s="22"/>
    </row>
    <row r="10" spans="2:4" s="21" customFormat="1" ht="45" customHeight="1" x14ac:dyDescent="0.35">
      <c r="B10" s="22">
        <v>5</v>
      </c>
      <c r="C10" s="22"/>
      <c r="D10" s="22">
        <v>23</v>
      </c>
    </row>
    <row r="11" spans="2:4" s="21" customFormat="1" ht="10.5" customHeight="1" x14ac:dyDescent="0.35">
      <c r="B11" s="22"/>
      <c r="C11" s="22"/>
      <c r="D11" s="22"/>
    </row>
    <row r="12" spans="2:4" s="21" customFormat="1" ht="45" customHeight="1" x14ac:dyDescent="0.35">
      <c r="B12" s="22">
        <v>6</v>
      </c>
      <c r="C12" s="22"/>
      <c r="D12" s="22">
        <v>24</v>
      </c>
    </row>
    <row r="13" spans="2:4" s="21" customFormat="1" ht="9.75" customHeight="1" x14ac:dyDescent="0.35">
      <c r="B13" s="22"/>
      <c r="C13" s="22"/>
      <c r="D13" s="22"/>
    </row>
    <row r="14" spans="2:4" s="21" customFormat="1" ht="45" customHeight="1" x14ac:dyDescent="0.35">
      <c r="B14" s="22">
        <v>7</v>
      </c>
      <c r="C14" s="22"/>
      <c r="D14" s="22">
        <v>25</v>
      </c>
    </row>
    <row r="15" spans="2:4" s="21" customFormat="1" ht="9.75" customHeight="1" x14ac:dyDescent="0.35">
      <c r="B15" s="22"/>
      <c r="C15" s="22"/>
      <c r="D15" s="22"/>
    </row>
    <row r="16" spans="2:4" s="21" customFormat="1" ht="45" customHeight="1" x14ac:dyDescent="0.35">
      <c r="B16" s="22">
        <v>8</v>
      </c>
      <c r="C16" s="22"/>
      <c r="D16" s="22">
        <v>26</v>
      </c>
    </row>
    <row r="17" spans="2:4" s="21" customFormat="1" ht="9.75" customHeight="1" x14ac:dyDescent="0.35">
      <c r="B17" s="22"/>
      <c r="C17" s="22"/>
      <c r="D17" s="22"/>
    </row>
    <row r="18" spans="2:4" s="21" customFormat="1" ht="45" customHeight="1" x14ac:dyDescent="0.35">
      <c r="B18" s="22">
        <v>9</v>
      </c>
      <c r="C18" s="22"/>
      <c r="D18" s="22">
        <v>27</v>
      </c>
    </row>
    <row r="19" spans="2:4" s="21" customFormat="1" ht="9" customHeight="1" x14ac:dyDescent="0.35">
      <c r="B19" s="22"/>
      <c r="C19" s="22"/>
      <c r="D19" s="22"/>
    </row>
    <row r="20" spans="2:4" s="21" customFormat="1" ht="45" customHeight="1" x14ac:dyDescent="0.35">
      <c r="B20" s="22">
        <v>10</v>
      </c>
      <c r="C20" s="22"/>
      <c r="D20" s="22">
        <v>28</v>
      </c>
    </row>
    <row r="21" spans="2:4" s="21" customFormat="1" ht="9.75" customHeight="1" x14ac:dyDescent="0.35">
      <c r="B21" s="22"/>
      <c r="C21" s="22"/>
      <c r="D21" s="22"/>
    </row>
    <row r="22" spans="2:4" s="21" customFormat="1" ht="45" customHeight="1" x14ac:dyDescent="0.35">
      <c r="B22" s="22">
        <v>11</v>
      </c>
      <c r="C22" s="22"/>
      <c r="D22" s="22">
        <v>29</v>
      </c>
    </row>
    <row r="23" spans="2:4" s="21" customFormat="1" ht="10.5" customHeight="1" x14ac:dyDescent="0.35">
      <c r="B23" s="22"/>
      <c r="C23" s="22"/>
      <c r="D23" s="22"/>
    </row>
    <row r="24" spans="2:4" s="21" customFormat="1" ht="45" customHeight="1" x14ac:dyDescent="0.35">
      <c r="B24" s="22">
        <v>12</v>
      </c>
      <c r="C24" s="22"/>
      <c r="D24" s="22">
        <v>30</v>
      </c>
    </row>
    <row r="25" spans="2:4" s="21" customFormat="1" ht="10.5" customHeight="1" x14ac:dyDescent="0.35">
      <c r="B25" s="22"/>
      <c r="C25" s="22"/>
      <c r="D25" s="22"/>
    </row>
    <row r="26" spans="2:4" s="21" customFormat="1" ht="45" customHeight="1" x14ac:dyDescent="0.35">
      <c r="B26" s="22">
        <v>13</v>
      </c>
      <c r="C26" s="22"/>
      <c r="D26" s="22">
        <v>31</v>
      </c>
    </row>
    <row r="27" spans="2:4" s="21" customFormat="1" ht="9" customHeight="1" x14ac:dyDescent="0.35">
      <c r="B27" s="22"/>
      <c r="C27" s="22"/>
      <c r="D27" s="22"/>
    </row>
    <row r="28" spans="2:4" s="21" customFormat="1" ht="45" customHeight="1" x14ac:dyDescent="0.35">
      <c r="B28" s="22">
        <v>14</v>
      </c>
      <c r="C28" s="22"/>
      <c r="D28" s="22">
        <v>32</v>
      </c>
    </row>
    <row r="29" spans="2:4" s="21" customFormat="1" ht="9" customHeight="1" x14ac:dyDescent="0.35">
      <c r="B29" s="22"/>
      <c r="C29" s="22"/>
      <c r="D29" s="22"/>
    </row>
    <row r="30" spans="2:4" s="21" customFormat="1" ht="45" customHeight="1" x14ac:dyDescent="0.35">
      <c r="B30" s="22">
        <v>15</v>
      </c>
      <c r="C30" s="22"/>
      <c r="D30" s="22">
        <v>33</v>
      </c>
    </row>
    <row r="31" spans="2:4" s="21" customFormat="1" ht="11.25" customHeight="1" x14ac:dyDescent="0.35">
      <c r="B31" s="22"/>
      <c r="C31" s="22"/>
      <c r="D31" s="22"/>
    </row>
    <row r="32" spans="2:4" s="21" customFormat="1" ht="45" customHeight="1" x14ac:dyDescent="0.35">
      <c r="B32" s="22">
        <v>16</v>
      </c>
      <c r="C32" s="22"/>
      <c r="D32" s="22">
        <v>34</v>
      </c>
    </row>
    <row r="33" spans="2:4" s="21" customFormat="1" ht="9" customHeight="1" x14ac:dyDescent="0.35">
      <c r="B33" s="22"/>
      <c r="C33" s="22"/>
      <c r="D33" s="22"/>
    </row>
    <row r="34" spans="2:4" s="21" customFormat="1" ht="45" customHeight="1" x14ac:dyDescent="0.35">
      <c r="B34" s="22">
        <v>17</v>
      </c>
      <c r="C34" s="22"/>
      <c r="D34" s="22"/>
    </row>
    <row r="35" spans="2:4" s="21" customFormat="1" ht="9" customHeight="1" x14ac:dyDescent="0.35">
      <c r="B35" s="22"/>
      <c r="C35" s="22"/>
      <c r="D35" s="22"/>
    </row>
    <row r="36" spans="2:4" s="21" customFormat="1" ht="45" customHeight="1" x14ac:dyDescent="0.35">
      <c r="B36" s="22">
        <v>18</v>
      </c>
      <c r="C36" s="22"/>
      <c r="D36" s="22"/>
    </row>
  </sheetData>
  <mergeCells count="2">
    <mergeCell ref="B1:B2"/>
    <mergeCell ref="D1:D2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peringkat otomatis</vt:lpstr>
      <vt:lpstr>peringkat</vt:lpstr>
      <vt:lpstr>Form penilaian presentasi</vt:lpstr>
      <vt:lpstr>REKAPITULASI SEMUA MATA LOMBA</vt:lpstr>
      <vt:lpstr>Rekap Nilai Teori Akuntansi</vt:lpstr>
      <vt:lpstr>Rekap Nilai Presentasi</vt:lpstr>
      <vt:lpstr>Komputer Akuntansi</vt:lpstr>
      <vt:lpstr>REKAP-DETAIL</vt:lpstr>
      <vt:lpstr>URUT-SIKLUS1</vt:lpstr>
      <vt:lpstr>UNDIAN</vt:lpstr>
      <vt:lpstr>'Komputer Akuntansi'!Print_Area</vt:lpstr>
      <vt:lpstr>peringkat!Print_Area</vt:lpstr>
      <vt:lpstr>'peringkat otomatis'!Print_Area</vt:lpstr>
      <vt:lpstr>'REKAPITULASI SEMUA MATA LOMBA'!Print_Area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OHS 2021</cp:lastModifiedBy>
  <cp:lastPrinted>2022-03-17T03:00:50Z</cp:lastPrinted>
  <dcterms:created xsi:type="dcterms:W3CDTF">2016-09-15T00:35:06Z</dcterms:created>
  <dcterms:modified xsi:type="dcterms:W3CDTF">2026-04-22T08:34:15Z</dcterms:modified>
</cp:coreProperties>
</file>